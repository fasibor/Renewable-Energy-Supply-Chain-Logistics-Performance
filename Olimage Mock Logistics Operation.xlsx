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FELIX\Desktop\"/>
    </mc:Choice>
  </mc:AlternateContent>
  <xr:revisionPtr revIDLastSave="0" documentId="13_ncr:1_{0AFC3D3E-4187-442A-A9C2-54AC7E0E9678}" xr6:coauthVersionLast="47" xr6:coauthVersionMax="47" xr10:uidLastSave="{00000000-0000-0000-0000-000000000000}"/>
  <bookViews>
    <workbookView xWindow="20370" yWindow="-120" windowWidth="29040" windowHeight="15840" activeTab="4" xr2:uid="{AF9BFA7B-8EC7-4A07-A8D7-E662AD628F8C}"/>
  </bookViews>
  <sheets>
    <sheet name="Original Dataset" sheetId="4" r:id="rId1"/>
    <sheet name="Logistics Operation" sheetId="1" r:id="rId2"/>
    <sheet name="Pre-Analysis" sheetId="2" r:id="rId3"/>
    <sheet name="Charts" sheetId="6" r:id="rId4"/>
    <sheet name="Dashboard" sheetId="9" r:id="rId5"/>
    <sheet name="In-Analysis" sheetId="10" r:id="rId6"/>
    <sheet name="Final Recommendations" sheetId="12" r:id="rId7"/>
  </sheets>
  <definedNames>
    <definedName name="_xlchart.v2.0" hidden="1">Charts!$J$3:$J$7</definedName>
    <definedName name="_xlchart.v2.1" hidden="1">Charts!$K$2</definedName>
    <definedName name="_xlchart.v2.2" hidden="1">Charts!$K$3:$K$7</definedName>
    <definedName name="_xlchart.v2.3" hidden="1">Charts!$J$23:$J$27</definedName>
    <definedName name="_xlchart.v2.4" hidden="1">Charts!$K$23:$K$27</definedName>
    <definedName name="Avg_Score">Charts!$U$18</definedName>
    <definedName name="Current_Date">Charts!$Q$19</definedName>
    <definedName name="delay_days">Charts!$U$13</definedName>
    <definedName name="dmg_rate">Charts!$U$14</definedName>
    <definedName name="freight_cost">Charts!$U$15</definedName>
    <definedName name="ontme_del">Charts!$U$12</definedName>
    <definedName name="shipment">Charts!$U$17</definedName>
    <definedName name="Slicer_Distance_Category">#N/A</definedName>
    <definedName name="Slicer_Project_Type">#N/A</definedName>
    <definedName name="Slicer_Supplier">#N/A</definedName>
    <definedName name="variance">Charts!$U$16</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3" i="6" l="1" a="1"/>
  <c r="J23" i="6" s="1"/>
  <c r="J2" i="6" a="1"/>
  <c r="J2" i="6" s="1"/>
  <c r="M286" i="6" a="1"/>
  <c r="M286" i="6" s="1"/>
  <c r="I286" i="6" a="1"/>
  <c r="I286" i="6" s="1"/>
  <c r="F289" i="6" a="1"/>
  <c r="F289" i="6" s="1"/>
  <c r="Q19" i="6"/>
  <c r="U4" i="6"/>
  <c r="U5" i="6"/>
  <c r="U6" i="6"/>
  <c r="U7" i="6"/>
  <c r="U3" i="6"/>
  <c r="T4" i="6"/>
  <c r="T5" i="6"/>
  <c r="T6" i="6"/>
  <c r="T7" i="6"/>
  <c r="T3" i="6"/>
  <c r="S4" i="6"/>
  <c r="S5" i="6"/>
  <c r="S6" i="6"/>
  <c r="S7" i="6"/>
  <c r="S3" i="6"/>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 i="1"/>
  <c r="Q3" i="1"/>
  <c r="R3" i="1" s="1"/>
  <c r="Q4" i="1"/>
  <c r="R4" i="1" s="1"/>
  <c r="Q5" i="1"/>
  <c r="R5" i="1" s="1"/>
  <c r="Q6" i="1"/>
  <c r="R6" i="1" s="1"/>
  <c r="Q7" i="1"/>
  <c r="R7" i="1" s="1"/>
  <c r="Q8" i="1"/>
  <c r="R8" i="1" s="1"/>
  <c r="Q9" i="1"/>
  <c r="R9" i="1" s="1"/>
  <c r="Q10" i="1"/>
  <c r="R10" i="1" s="1"/>
  <c r="Q11" i="1"/>
  <c r="R11" i="1" s="1"/>
  <c r="Q12" i="1"/>
  <c r="R12" i="1" s="1"/>
  <c r="Q13" i="1"/>
  <c r="R13" i="1" s="1"/>
  <c r="Q14" i="1"/>
  <c r="R14" i="1" s="1"/>
  <c r="Q15" i="1"/>
  <c r="R15" i="1" s="1"/>
  <c r="Q16" i="1"/>
  <c r="R16" i="1" s="1"/>
  <c r="Q17" i="1"/>
  <c r="R17" i="1" s="1"/>
  <c r="Q18" i="1"/>
  <c r="R18" i="1" s="1"/>
  <c r="Q19" i="1"/>
  <c r="R19" i="1" s="1"/>
  <c r="Q20" i="1"/>
  <c r="R20" i="1" s="1"/>
  <c r="Q21" i="1"/>
  <c r="R21" i="1" s="1"/>
  <c r="Q22" i="1"/>
  <c r="R22" i="1" s="1"/>
  <c r="Q23" i="1"/>
  <c r="R23" i="1" s="1"/>
  <c r="Q24" i="1"/>
  <c r="R24" i="1" s="1"/>
  <c r="Q25" i="1"/>
  <c r="R25" i="1" s="1"/>
  <c r="Q26" i="1"/>
  <c r="R26" i="1" s="1"/>
  <c r="Q27" i="1"/>
  <c r="R27" i="1" s="1"/>
  <c r="Q28" i="1"/>
  <c r="R28" i="1" s="1"/>
  <c r="Q29" i="1"/>
  <c r="R29" i="1" s="1"/>
  <c r="Q30" i="1"/>
  <c r="R30" i="1" s="1"/>
  <c r="Q31" i="1"/>
  <c r="R31" i="1" s="1"/>
  <c r="Q32" i="1"/>
  <c r="R32" i="1" s="1"/>
  <c r="Q33" i="1"/>
  <c r="R33" i="1" s="1"/>
  <c r="Q34" i="1"/>
  <c r="R34" i="1" s="1"/>
  <c r="Q35" i="1"/>
  <c r="R35" i="1" s="1"/>
  <c r="Q36" i="1"/>
  <c r="R36" i="1" s="1"/>
  <c r="Q37" i="1"/>
  <c r="R37" i="1" s="1"/>
  <c r="Q38" i="1"/>
  <c r="R38" i="1" s="1"/>
  <c r="Q39" i="1"/>
  <c r="R39" i="1" s="1"/>
  <c r="Q40" i="1"/>
  <c r="R40" i="1" s="1"/>
  <c r="Q41" i="1"/>
  <c r="R41" i="1" s="1"/>
  <c r="Q42" i="1"/>
  <c r="R42" i="1" s="1"/>
  <c r="Q43" i="1"/>
  <c r="R43" i="1" s="1"/>
  <c r="Q44" i="1"/>
  <c r="R44" i="1" s="1"/>
  <c r="Q45" i="1"/>
  <c r="R45" i="1" s="1"/>
  <c r="Q46" i="1"/>
  <c r="R46" i="1" s="1"/>
  <c r="Q47" i="1"/>
  <c r="R47" i="1" s="1"/>
  <c r="Q48" i="1"/>
  <c r="R48" i="1" s="1"/>
  <c r="Q49" i="1"/>
  <c r="R49" i="1" s="1"/>
  <c r="Q50" i="1"/>
  <c r="R50" i="1" s="1"/>
  <c r="Q51" i="1"/>
  <c r="R51" i="1" s="1"/>
  <c r="Q52" i="1"/>
  <c r="R52" i="1" s="1"/>
  <c r="Q53" i="1"/>
  <c r="R53" i="1" s="1"/>
  <c r="Q54" i="1"/>
  <c r="R54" i="1" s="1"/>
  <c r="Q55" i="1"/>
  <c r="R55" i="1" s="1"/>
  <c r="Q56" i="1"/>
  <c r="R56" i="1" s="1"/>
  <c r="Q57" i="1"/>
  <c r="R57" i="1" s="1"/>
  <c r="Q58" i="1"/>
  <c r="R58" i="1" s="1"/>
  <c r="Q59" i="1"/>
  <c r="R59" i="1" s="1"/>
  <c r="Q60" i="1"/>
  <c r="R60" i="1" s="1"/>
  <c r="Q61" i="1"/>
  <c r="R61" i="1" s="1"/>
  <c r="Q62" i="1"/>
  <c r="R62" i="1" s="1"/>
  <c r="Q63" i="1"/>
  <c r="R63" i="1" s="1"/>
  <c r="Q64" i="1"/>
  <c r="R64" i="1" s="1"/>
  <c r="Q65" i="1"/>
  <c r="R65" i="1" s="1"/>
  <c r="Q66" i="1"/>
  <c r="R66" i="1" s="1"/>
  <c r="Q67" i="1"/>
  <c r="R67" i="1" s="1"/>
  <c r="Q68" i="1"/>
  <c r="R68" i="1" s="1"/>
  <c r="Q69" i="1"/>
  <c r="R69" i="1" s="1"/>
  <c r="Q70" i="1"/>
  <c r="R70" i="1" s="1"/>
  <c r="Q71" i="1"/>
  <c r="R71" i="1" s="1"/>
  <c r="Q72" i="1"/>
  <c r="R72" i="1" s="1"/>
  <c r="Q73" i="1"/>
  <c r="R73" i="1" s="1"/>
  <c r="Q74" i="1"/>
  <c r="R74" i="1" s="1"/>
  <c r="Q75" i="1"/>
  <c r="R75" i="1" s="1"/>
  <c r="Q76" i="1"/>
  <c r="R76" i="1" s="1"/>
  <c r="Q77" i="1"/>
  <c r="R77" i="1" s="1"/>
  <c r="Q78" i="1"/>
  <c r="R78" i="1" s="1"/>
  <c r="Q79" i="1"/>
  <c r="R79" i="1" s="1"/>
  <c r="Q80" i="1"/>
  <c r="R80" i="1" s="1"/>
  <c r="Q81" i="1"/>
  <c r="R81" i="1" s="1"/>
  <c r="Q82" i="1"/>
  <c r="R82" i="1" s="1"/>
  <c r="Q83" i="1"/>
  <c r="R83" i="1" s="1"/>
  <c r="Q84" i="1"/>
  <c r="R84" i="1" s="1"/>
  <c r="Q85" i="1"/>
  <c r="R85" i="1" s="1"/>
  <c r="Q86" i="1"/>
  <c r="R86" i="1" s="1"/>
  <c r="Q87" i="1"/>
  <c r="R87" i="1" s="1"/>
  <c r="Q88" i="1"/>
  <c r="R88" i="1" s="1"/>
  <c r="Q89" i="1"/>
  <c r="R89" i="1" s="1"/>
  <c r="Q90" i="1"/>
  <c r="R90" i="1" s="1"/>
  <c r="Q91" i="1"/>
  <c r="R91" i="1" s="1"/>
  <c r="Q92" i="1"/>
  <c r="R92" i="1" s="1"/>
  <c r="Q93" i="1"/>
  <c r="R93" i="1" s="1"/>
  <c r="Q94" i="1"/>
  <c r="R94" i="1" s="1"/>
  <c r="Q95" i="1"/>
  <c r="R95" i="1" s="1"/>
  <c r="Q96" i="1"/>
  <c r="R96" i="1" s="1"/>
  <c r="Q97" i="1"/>
  <c r="R97" i="1" s="1"/>
  <c r="Q98" i="1"/>
  <c r="R98" i="1" s="1"/>
  <c r="Q99" i="1"/>
  <c r="R99" i="1" s="1"/>
  <c r="Q100" i="1"/>
  <c r="R100" i="1" s="1"/>
  <c r="Q101" i="1"/>
  <c r="R101" i="1" s="1"/>
  <c r="Q102" i="1"/>
  <c r="R102" i="1" s="1"/>
  <c r="Q103" i="1"/>
  <c r="R103" i="1" s="1"/>
  <c r="Q104" i="1"/>
  <c r="R104" i="1" s="1"/>
  <c r="Q105" i="1"/>
  <c r="R105" i="1" s="1"/>
  <c r="Q106" i="1"/>
  <c r="R106" i="1" s="1"/>
  <c r="Q107" i="1"/>
  <c r="R107" i="1" s="1"/>
  <c r="Q108" i="1"/>
  <c r="R108" i="1" s="1"/>
  <c r="Q109" i="1"/>
  <c r="R109" i="1" s="1"/>
  <c r="Q110" i="1"/>
  <c r="R110" i="1" s="1"/>
  <c r="Q111" i="1"/>
  <c r="R111" i="1" s="1"/>
  <c r="Q112" i="1"/>
  <c r="R112" i="1" s="1"/>
  <c r="Q113" i="1"/>
  <c r="R113" i="1" s="1"/>
  <c r="Q114" i="1"/>
  <c r="R114" i="1" s="1"/>
  <c r="Q115" i="1"/>
  <c r="R115" i="1" s="1"/>
  <c r="Q116" i="1"/>
  <c r="R116" i="1" s="1"/>
  <c r="Q117" i="1"/>
  <c r="R117" i="1" s="1"/>
  <c r="Q118" i="1"/>
  <c r="R118" i="1" s="1"/>
  <c r="Q119" i="1"/>
  <c r="R119" i="1" s="1"/>
  <c r="Q120" i="1"/>
  <c r="R120" i="1" s="1"/>
  <c r="Q121" i="1"/>
  <c r="R121" i="1" s="1"/>
  <c r="Q122" i="1"/>
  <c r="R122" i="1" s="1"/>
  <c r="Q123" i="1"/>
  <c r="R123" i="1" s="1"/>
  <c r="Q124" i="1"/>
  <c r="R124" i="1" s="1"/>
  <c r="Q125" i="1"/>
  <c r="R125" i="1" s="1"/>
  <c r="Q126" i="1"/>
  <c r="R126" i="1" s="1"/>
  <c r="Q127" i="1"/>
  <c r="R127" i="1" s="1"/>
  <c r="Q128" i="1"/>
  <c r="R128" i="1" s="1"/>
  <c r="Q129" i="1"/>
  <c r="R129" i="1" s="1"/>
  <c r="Q130" i="1"/>
  <c r="R130" i="1" s="1"/>
  <c r="Q131" i="1"/>
  <c r="R131" i="1" s="1"/>
  <c r="Q132" i="1"/>
  <c r="R132" i="1" s="1"/>
  <c r="Q133" i="1"/>
  <c r="R133" i="1" s="1"/>
  <c r="Q134" i="1"/>
  <c r="R134" i="1" s="1"/>
  <c r="Q135" i="1"/>
  <c r="R135" i="1" s="1"/>
  <c r="Q136" i="1"/>
  <c r="R136" i="1" s="1"/>
  <c r="Q137" i="1"/>
  <c r="R137" i="1" s="1"/>
  <c r="Q138" i="1"/>
  <c r="R138" i="1" s="1"/>
  <c r="Q139" i="1"/>
  <c r="R139" i="1" s="1"/>
  <c r="Q140" i="1"/>
  <c r="R140" i="1" s="1"/>
  <c r="Q141" i="1"/>
  <c r="R141" i="1" s="1"/>
  <c r="Q142" i="1"/>
  <c r="R142" i="1" s="1"/>
  <c r="Q143" i="1"/>
  <c r="R143" i="1" s="1"/>
  <c r="Q144" i="1"/>
  <c r="R144" i="1" s="1"/>
  <c r="Q145" i="1"/>
  <c r="R145" i="1" s="1"/>
  <c r="Q146" i="1"/>
  <c r="R146" i="1" s="1"/>
  <c r="Q147" i="1"/>
  <c r="R147" i="1" s="1"/>
  <c r="Q148" i="1"/>
  <c r="R148" i="1" s="1"/>
  <c r="Q149" i="1"/>
  <c r="R149" i="1" s="1"/>
  <c r="Q150" i="1"/>
  <c r="R150" i="1" s="1"/>
  <c r="Q151" i="1"/>
  <c r="R151" i="1" s="1"/>
  <c r="Q152" i="1"/>
  <c r="R152" i="1" s="1"/>
  <c r="Q153" i="1"/>
  <c r="R153" i="1" s="1"/>
  <c r="Q154" i="1"/>
  <c r="R154" i="1" s="1"/>
  <c r="Q155" i="1"/>
  <c r="R155" i="1" s="1"/>
  <c r="Q156" i="1"/>
  <c r="R156" i="1" s="1"/>
  <c r="Q157" i="1"/>
  <c r="R157" i="1" s="1"/>
  <c r="Q158" i="1"/>
  <c r="R158" i="1" s="1"/>
  <c r="Q159" i="1"/>
  <c r="R159" i="1" s="1"/>
  <c r="Q160" i="1"/>
  <c r="R160" i="1" s="1"/>
  <c r="Q161" i="1"/>
  <c r="R161" i="1" s="1"/>
  <c r="Q162" i="1"/>
  <c r="R162" i="1" s="1"/>
  <c r="Q163" i="1"/>
  <c r="R163" i="1" s="1"/>
  <c r="Q164" i="1"/>
  <c r="R164" i="1" s="1"/>
  <c r="Q165" i="1"/>
  <c r="R165" i="1" s="1"/>
  <c r="Q166" i="1"/>
  <c r="R166" i="1" s="1"/>
  <c r="Q167" i="1"/>
  <c r="R167" i="1" s="1"/>
  <c r="Q168" i="1"/>
  <c r="R168" i="1" s="1"/>
  <c r="Q169" i="1"/>
  <c r="R169" i="1" s="1"/>
  <c r="Q170" i="1"/>
  <c r="R170" i="1" s="1"/>
  <c r="Q171" i="1"/>
  <c r="R171" i="1" s="1"/>
  <c r="Q172" i="1"/>
  <c r="R172" i="1" s="1"/>
  <c r="Q173" i="1"/>
  <c r="R173" i="1" s="1"/>
  <c r="Q174" i="1"/>
  <c r="R174" i="1" s="1"/>
  <c r="Q175" i="1"/>
  <c r="R175" i="1" s="1"/>
  <c r="Q176" i="1"/>
  <c r="R176" i="1" s="1"/>
  <c r="Q177" i="1"/>
  <c r="R177" i="1" s="1"/>
  <c r="Q178" i="1"/>
  <c r="R178" i="1" s="1"/>
  <c r="Q179" i="1"/>
  <c r="R179" i="1" s="1"/>
  <c r="Q180" i="1"/>
  <c r="R180" i="1" s="1"/>
  <c r="Q181" i="1"/>
  <c r="R181" i="1" s="1"/>
  <c r="Q182" i="1"/>
  <c r="R182" i="1" s="1"/>
  <c r="Q183" i="1"/>
  <c r="R183" i="1" s="1"/>
  <c r="Q184" i="1"/>
  <c r="R184" i="1" s="1"/>
  <c r="Q185" i="1"/>
  <c r="R185" i="1" s="1"/>
  <c r="Q186" i="1"/>
  <c r="R186" i="1" s="1"/>
  <c r="Q187" i="1"/>
  <c r="R187" i="1" s="1"/>
  <c r="Q188" i="1"/>
  <c r="R188" i="1" s="1"/>
  <c r="Q189" i="1"/>
  <c r="R189" i="1" s="1"/>
  <c r="Q190" i="1"/>
  <c r="R190" i="1" s="1"/>
  <c r="Q191" i="1"/>
  <c r="R191" i="1" s="1"/>
  <c r="Q192" i="1"/>
  <c r="R192" i="1" s="1"/>
  <c r="Q193" i="1"/>
  <c r="R193" i="1" s="1"/>
  <c r="Q194" i="1"/>
  <c r="R194" i="1" s="1"/>
  <c r="Q195" i="1"/>
  <c r="R195" i="1" s="1"/>
  <c r="Q196" i="1"/>
  <c r="R196" i="1" s="1"/>
  <c r="Q197" i="1"/>
  <c r="R197" i="1" s="1"/>
  <c r="Q198" i="1"/>
  <c r="R198" i="1" s="1"/>
  <c r="Q199" i="1"/>
  <c r="R199" i="1" s="1"/>
  <c r="Q200" i="1"/>
  <c r="R200" i="1" s="1"/>
  <c r="Q201" i="1"/>
  <c r="R201" i="1" s="1"/>
  <c r="Q202" i="1"/>
  <c r="R202" i="1" s="1"/>
  <c r="Q203" i="1"/>
  <c r="R203" i="1" s="1"/>
  <c r="Q204" i="1"/>
  <c r="R204" i="1" s="1"/>
  <c r="Q205" i="1"/>
  <c r="R205" i="1" s="1"/>
  <c r="Q206" i="1"/>
  <c r="R206" i="1" s="1"/>
  <c r="Q207" i="1"/>
  <c r="R207" i="1" s="1"/>
  <c r="Q208" i="1"/>
  <c r="R208" i="1" s="1"/>
  <c r="Q209" i="1"/>
  <c r="R209" i="1" s="1"/>
  <c r="Q210" i="1"/>
  <c r="R210" i="1" s="1"/>
  <c r="Q211" i="1"/>
  <c r="R211" i="1" s="1"/>
  <c r="Q212" i="1"/>
  <c r="R212" i="1" s="1"/>
  <c r="Q213" i="1"/>
  <c r="R213" i="1" s="1"/>
  <c r="Q214" i="1"/>
  <c r="R214" i="1" s="1"/>
  <c r="Q215" i="1"/>
  <c r="R215" i="1" s="1"/>
  <c r="Q216" i="1"/>
  <c r="R216" i="1" s="1"/>
  <c r="Q217" i="1"/>
  <c r="R217" i="1" s="1"/>
  <c r="Q218" i="1"/>
  <c r="R218" i="1" s="1"/>
  <c r="Q219" i="1"/>
  <c r="R219" i="1" s="1"/>
  <c r="Q220" i="1"/>
  <c r="R220" i="1" s="1"/>
  <c r="Q221" i="1"/>
  <c r="R221" i="1" s="1"/>
  <c r="Q222" i="1"/>
  <c r="R222" i="1" s="1"/>
  <c r="Q223" i="1"/>
  <c r="R223" i="1" s="1"/>
  <c r="Q224" i="1"/>
  <c r="R224" i="1" s="1"/>
  <c r="Q225" i="1"/>
  <c r="R225" i="1" s="1"/>
  <c r="Q226" i="1"/>
  <c r="R226" i="1" s="1"/>
  <c r="Q227" i="1"/>
  <c r="R227" i="1" s="1"/>
  <c r="Q228" i="1"/>
  <c r="R228" i="1" s="1"/>
  <c r="Q229" i="1"/>
  <c r="R229" i="1" s="1"/>
  <c r="Q230" i="1"/>
  <c r="R230" i="1" s="1"/>
  <c r="Q231" i="1"/>
  <c r="R231" i="1" s="1"/>
  <c r="Q232" i="1"/>
  <c r="R232" i="1" s="1"/>
  <c r="Q233" i="1"/>
  <c r="R233" i="1" s="1"/>
  <c r="Q234" i="1"/>
  <c r="R234" i="1" s="1"/>
  <c r="Q235" i="1"/>
  <c r="R235" i="1" s="1"/>
  <c r="Q236" i="1"/>
  <c r="R236" i="1" s="1"/>
  <c r="Q237" i="1"/>
  <c r="R237" i="1" s="1"/>
  <c r="Q238" i="1"/>
  <c r="R238" i="1" s="1"/>
  <c r="Q239" i="1"/>
  <c r="R239" i="1" s="1"/>
  <c r="Q240" i="1"/>
  <c r="R240" i="1" s="1"/>
  <c r="Q241" i="1"/>
  <c r="R241" i="1" s="1"/>
  <c r="Q242" i="1"/>
  <c r="R242" i="1" s="1"/>
  <c r="Q243" i="1"/>
  <c r="R243" i="1" s="1"/>
  <c r="Q244" i="1"/>
  <c r="R244" i="1" s="1"/>
  <c r="Q245" i="1"/>
  <c r="R245" i="1" s="1"/>
  <c r="Q246" i="1"/>
  <c r="R246" i="1" s="1"/>
  <c r="Q247" i="1"/>
  <c r="R247" i="1" s="1"/>
  <c r="Q248" i="1"/>
  <c r="R248" i="1" s="1"/>
  <c r="Q249" i="1"/>
  <c r="R249" i="1" s="1"/>
  <c r="Q250" i="1"/>
  <c r="R250" i="1" s="1"/>
  <c r="Q251" i="1"/>
  <c r="R251" i="1" s="1"/>
  <c r="Q252" i="1"/>
  <c r="R252" i="1" s="1"/>
  <c r="Q253" i="1"/>
  <c r="R253" i="1" s="1"/>
  <c r="Q254" i="1"/>
  <c r="R254" i="1" s="1"/>
  <c r="Q255" i="1"/>
  <c r="R255" i="1" s="1"/>
  <c r="Q256" i="1"/>
  <c r="R256" i="1" s="1"/>
  <c r="Q257" i="1"/>
  <c r="R257" i="1" s="1"/>
  <c r="Q258" i="1"/>
  <c r="R258" i="1" s="1"/>
  <c r="Q259" i="1"/>
  <c r="R259" i="1" s="1"/>
  <c r="Q260" i="1"/>
  <c r="R260" i="1" s="1"/>
  <c r="Q261" i="1"/>
  <c r="R261" i="1" s="1"/>
  <c r="Q262" i="1"/>
  <c r="R262" i="1" s="1"/>
  <c r="Q263" i="1"/>
  <c r="R263" i="1" s="1"/>
  <c r="Q264" i="1"/>
  <c r="R264" i="1" s="1"/>
  <c r="Q265" i="1"/>
  <c r="R265" i="1" s="1"/>
  <c r="Q266" i="1"/>
  <c r="R266" i="1" s="1"/>
  <c r="Q267" i="1"/>
  <c r="R267" i="1" s="1"/>
  <c r="Q268" i="1"/>
  <c r="R268" i="1" s="1"/>
  <c r="Q269" i="1"/>
  <c r="R269" i="1" s="1"/>
  <c r="Q270" i="1"/>
  <c r="R270" i="1" s="1"/>
  <c r="Q271" i="1"/>
  <c r="R271" i="1" s="1"/>
  <c r="Q272" i="1"/>
  <c r="R272" i="1" s="1"/>
  <c r="Q273" i="1"/>
  <c r="R273" i="1" s="1"/>
  <c r="Q274" i="1"/>
  <c r="R274" i="1" s="1"/>
  <c r="Q275" i="1"/>
  <c r="R275" i="1" s="1"/>
  <c r="Q276" i="1"/>
  <c r="R276" i="1" s="1"/>
  <c r="Q277" i="1"/>
  <c r="R277" i="1" s="1"/>
  <c r="Q278" i="1"/>
  <c r="R278" i="1" s="1"/>
  <c r="Q279" i="1"/>
  <c r="R279" i="1" s="1"/>
  <c r="Q280" i="1"/>
  <c r="R280" i="1" s="1"/>
  <c r="Q281" i="1"/>
  <c r="R281" i="1" s="1"/>
  <c r="Q282" i="1"/>
  <c r="R282" i="1" s="1"/>
  <c r="Q283" i="1"/>
  <c r="R283" i="1" s="1"/>
  <c r="Q284" i="1"/>
  <c r="R284" i="1" s="1"/>
  <c r="Q285" i="1"/>
  <c r="R285" i="1" s="1"/>
  <c r="Q286" i="1"/>
  <c r="R286" i="1" s="1"/>
  <c r="Q287" i="1"/>
  <c r="R287" i="1" s="1"/>
  <c r="Q288" i="1"/>
  <c r="R288" i="1" s="1"/>
  <c r="Q289" i="1"/>
  <c r="R289" i="1" s="1"/>
  <c r="Q290" i="1"/>
  <c r="R290" i="1" s="1"/>
  <c r="Q291" i="1"/>
  <c r="R291" i="1" s="1"/>
  <c r="Q292" i="1"/>
  <c r="R292" i="1" s="1"/>
  <c r="Q293" i="1"/>
  <c r="R293" i="1" s="1"/>
  <c r="Q294" i="1"/>
  <c r="R294" i="1" s="1"/>
  <c r="Q295" i="1"/>
  <c r="R295" i="1" s="1"/>
  <c r="Q296" i="1"/>
  <c r="R296" i="1" s="1"/>
  <c r="Q297" i="1"/>
  <c r="R297" i="1" s="1"/>
  <c r="Q298" i="1"/>
  <c r="R298" i="1" s="1"/>
  <c r="Q299" i="1"/>
  <c r="R299" i="1" s="1"/>
  <c r="Q300" i="1"/>
  <c r="R300" i="1" s="1"/>
  <c r="Q301" i="1"/>
  <c r="R301" i="1" s="1"/>
  <c r="Q302" i="1"/>
  <c r="R302" i="1"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AB4" i="1"/>
  <c r="AC4" i="1" s="1"/>
  <c r="AB5" i="1"/>
  <c r="AC5" i="1" s="1"/>
  <c r="AB6" i="1"/>
  <c r="AC6" i="1" s="1"/>
  <c r="AB7" i="1"/>
  <c r="AC7" i="1" s="1"/>
  <c r="AB8" i="1"/>
  <c r="AC8" i="1" s="1"/>
  <c r="AB9" i="1"/>
  <c r="AC9" i="1" s="1"/>
  <c r="AB10" i="1"/>
  <c r="AC10" i="1" s="1"/>
  <c r="AB11" i="1"/>
  <c r="AC11" i="1" s="1"/>
  <c r="AB12" i="1"/>
  <c r="AC12" i="1" s="1"/>
  <c r="AB13" i="1"/>
  <c r="AC13" i="1" s="1"/>
  <c r="AB14" i="1"/>
  <c r="AC14" i="1" s="1"/>
  <c r="AB15" i="1"/>
  <c r="AC15" i="1" s="1"/>
  <c r="AB16" i="1"/>
  <c r="AC16" i="1" s="1"/>
  <c r="AB17" i="1"/>
  <c r="AC17" i="1" s="1"/>
  <c r="AB18" i="1"/>
  <c r="AC18" i="1" s="1"/>
  <c r="AB19" i="1"/>
  <c r="AC19" i="1" s="1"/>
  <c r="AB20" i="1"/>
  <c r="AC20" i="1" s="1"/>
  <c r="AB21" i="1"/>
  <c r="AC21" i="1" s="1"/>
  <c r="AB22" i="1"/>
  <c r="AC22" i="1" s="1"/>
  <c r="AB23" i="1"/>
  <c r="AC23" i="1" s="1"/>
  <c r="AB24" i="1"/>
  <c r="AC24" i="1" s="1"/>
  <c r="AB25" i="1"/>
  <c r="AC25" i="1" s="1"/>
  <c r="AB26" i="1"/>
  <c r="AC26" i="1" s="1"/>
  <c r="AB27" i="1"/>
  <c r="AC27" i="1" s="1"/>
  <c r="AB28" i="1"/>
  <c r="AC28" i="1" s="1"/>
  <c r="AB29" i="1"/>
  <c r="AC29" i="1" s="1"/>
  <c r="AB30" i="1"/>
  <c r="AC30" i="1" s="1"/>
  <c r="AB31" i="1"/>
  <c r="AC31" i="1" s="1"/>
  <c r="AB32" i="1"/>
  <c r="AC32" i="1" s="1"/>
  <c r="AB33" i="1"/>
  <c r="AC33" i="1" s="1"/>
  <c r="AB34" i="1"/>
  <c r="AC34" i="1" s="1"/>
  <c r="AB35" i="1"/>
  <c r="AC35" i="1" s="1"/>
  <c r="AB36" i="1"/>
  <c r="AC36" i="1" s="1"/>
  <c r="AB37" i="1"/>
  <c r="AC37" i="1" s="1"/>
  <c r="AB38" i="1"/>
  <c r="AC38" i="1" s="1"/>
  <c r="AB39" i="1"/>
  <c r="AC39" i="1" s="1"/>
  <c r="AB40" i="1"/>
  <c r="AC40" i="1" s="1"/>
  <c r="AB41" i="1"/>
  <c r="AC41" i="1" s="1"/>
  <c r="AB42" i="1"/>
  <c r="AC42" i="1" s="1"/>
  <c r="AB43" i="1"/>
  <c r="AC43" i="1" s="1"/>
  <c r="AB44" i="1"/>
  <c r="AC44" i="1" s="1"/>
  <c r="AB45" i="1"/>
  <c r="AC45" i="1" s="1"/>
  <c r="AB46" i="1"/>
  <c r="AC46" i="1" s="1"/>
  <c r="AB47" i="1"/>
  <c r="AC47" i="1" s="1"/>
  <c r="AB48" i="1"/>
  <c r="AC48" i="1" s="1"/>
  <c r="AB49" i="1"/>
  <c r="AC49" i="1" s="1"/>
  <c r="AB50" i="1"/>
  <c r="AC50" i="1" s="1"/>
  <c r="AB51" i="1"/>
  <c r="AC51" i="1" s="1"/>
  <c r="AB52" i="1"/>
  <c r="AC52" i="1" s="1"/>
  <c r="AB53" i="1"/>
  <c r="AC53" i="1" s="1"/>
  <c r="AB54" i="1"/>
  <c r="AC54" i="1" s="1"/>
  <c r="AB55" i="1"/>
  <c r="AC55" i="1" s="1"/>
  <c r="AB56" i="1"/>
  <c r="AC56" i="1" s="1"/>
  <c r="AB57" i="1"/>
  <c r="AC57" i="1" s="1"/>
  <c r="AB58" i="1"/>
  <c r="AC58" i="1" s="1"/>
  <c r="AB59" i="1"/>
  <c r="AC59" i="1" s="1"/>
  <c r="AB60" i="1"/>
  <c r="AC60" i="1" s="1"/>
  <c r="AB61" i="1"/>
  <c r="AC61" i="1" s="1"/>
  <c r="AB62" i="1"/>
  <c r="AC62" i="1" s="1"/>
  <c r="AB63" i="1"/>
  <c r="AC63" i="1" s="1"/>
  <c r="AB64" i="1"/>
  <c r="AC64" i="1" s="1"/>
  <c r="AB65" i="1"/>
  <c r="AC65" i="1" s="1"/>
  <c r="AB66" i="1"/>
  <c r="AC66" i="1" s="1"/>
  <c r="AB67" i="1"/>
  <c r="AC67" i="1" s="1"/>
  <c r="AB68" i="1"/>
  <c r="AC68" i="1" s="1"/>
  <c r="AB69" i="1"/>
  <c r="AC69" i="1" s="1"/>
  <c r="AB70" i="1"/>
  <c r="AC70" i="1" s="1"/>
  <c r="AB71" i="1"/>
  <c r="AC71" i="1" s="1"/>
  <c r="AB72" i="1"/>
  <c r="AC72" i="1" s="1"/>
  <c r="AB73" i="1"/>
  <c r="AC73" i="1" s="1"/>
  <c r="AB74" i="1"/>
  <c r="AC74" i="1" s="1"/>
  <c r="AB75" i="1"/>
  <c r="AC75" i="1" s="1"/>
  <c r="AB76" i="1"/>
  <c r="AC76" i="1" s="1"/>
  <c r="AB77" i="1"/>
  <c r="AC77" i="1" s="1"/>
  <c r="AB78" i="1"/>
  <c r="AC78" i="1" s="1"/>
  <c r="AB79" i="1"/>
  <c r="AC79" i="1" s="1"/>
  <c r="AB80" i="1"/>
  <c r="AC80" i="1" s="1"/>
  <c r="AB81" i="1"/>
  <c r="AC81" i="1" s="1"/>
  <c r="AB82" i="1"/>
  <c r="AC82" i="1" s="1"/>
  <c r="AB83" i="1"/>
  <c r="AC83" i="1" s="1"/>
  <c r="AB84" i="1"/>
  <c r="AC84" i="1" s="1"/>
  <c r="AB85" i="1"/>
  <c r="AC85" i="1" s="1"/>
  <c r="AB86" i="1"/>
  <c r="AC86" i="1" s="1"/>
  <c r="AB87" i="1"/>
  <c r="AC87" i="1" s="1"/>
  <c r="AB88" i="1"/>
  <c r="AC88" i="1" s="1"/>
  <c r="AB89" i="1"/>
  <c r="AC89" i="1" s="1"/>
  <c r="AB90" i="1"/>
  <c r="AC90" i="1" s="1"/>
  <c r="AB91" i="1"/>
  <c r="AC91" i="1" s="1"/>
  <c r="AB92" i="1"/>
  <c r="AC92" i="1" s="1"/>
  <c r="AB93" i="1"/>
  <c r="AC93" i="1" s="1"/>
  <c r="AB94" i="1"/>
  <c r="AC94" i="1" s="1"/>
  <c r="AB95" i="1"/>
  <c r="AC95" i="1" s="1"/>
  <c r="AB96" i="1"/>
  <c r="AC96" i="1" s="1"/>
  <c r="AB97" i="1"/>
  <c r="AC97" i="1" s="1"/>
  <c r="AB98" i="1"/>
  <c r="AC98" i="1" s="1"/>
  <c r="AB99" i="1"/>
  <c r="AC99" i="1" s="1"/>
  <c r="AB100" i="1"/>
  <c r="AC100" i="1" s="1"/>
  <c r="AB101" i="1"/>
  <c r="AC101" i="1" s="1"/>
  <c r="AB102" i="1"/>
  <c r="AC102" i="1" s="1"/>
  <c r="AB103" i="1"/>
  <c r="AC103" i="1" s="1"/>
  <c r="AB104" i="1"/>
  <c r="AC104" i="1" s="1"/>
  <c r="AB105" i="1"/>
  <c r="AC105" i="1" s="1"/>
  <c r="AB106" i="1"/>
  <c r="AC106" i="1" s="1"/>
  <c r="AB107" i="1"/>
  <c r="AC107" i="1" s="1"/>
  <c r="AB108" i="1"/>
  <c r="AC108" i="1" s="1"/>
  <c r="AB109" i="1"/>
  <c r="AC109" i="1" s="1"/>
  <c r="AB110" i="1"/>
  <c r="AC110" i="1" s="1"/>
  <c r="AB111" i="1"/>
  <c r="AC111" i="1" s="1"/>
  <c r="AB112" i="1"/>
  <c r="AC112" i="1" s="1"/>
  <c r="AB113" i="1"/>
  <c r="AC113" i="1" s="1"/>
  <c r="AB114" i="1"/>
  <c r="AC114" i="1" s="1"/>
  <c r="AB115" i="1"/>
  <c r="AC115" i="1" s="1"/>
  <c r="AB116" i="1"/>
  <c r="AC116" i="1" s="1"/>
  <c r="AB117" i="1"/>
  <c r="AC117" i="1" s="1"/>
  <c r="AB118" i="1"/>
  <c r="AC118" i="1" s="1"/>
  <c r="AB119" i="1"/>
  <c r="AC119" i="1" s="1"/>
  <c r="AB120" i="1"/>
  <c r="AC120" i="1" s="1"/>
  <c r="AB121" i="1"/>
  <c r="AC121" i="1" s="1"/>
  <c r="AB122" i="1"/>
  <c r="AC122" i="1" s="1"/>
  <c r="AB123" i="1"/>
  <c r="AC123" i="1" s="1"/>
  <c r="AB124" i="1"/>
  <c r="AC124" i="1" s="1"/>
  <c r="AB125" i="1"/>
  <c r="AC125" i="1" s="1"/>
  <c r="AB126" i="1"/>
  <c r="AC126" i="1" s="1"/>
  <c r="AB127" i="1"/>
  <c r="AC127" i="1" s="1"/>
  <c r="AB128" i="1"/>
  <c r="AC128" i="1" s="1"/>
  <c r="AB129" i="1"/>
  <c r="AC129" i="1" s="1"/>
  <c r="AB130" i="1"/>
  <c r="AC130" i="1" s="1"/>
  <c r="AB131" i="1"/>
  <c r="AC131" i="1" s="1"/>
  <c r="AB132" i="1"/>
  <c r="AC132" i="1" s="1"/>
  <c r="AB133" i="1"/>
  <c r="AC133" i="1" s="1"/>
  <c r="AB134" i="1"/>
  <c r="AC134" i="1" s="1"/>
  <c r="AB135" i="1"/>
  <c r="AC135" i="1" s="1"/>
  <c r="AB136" i="1"/>
  <c r="AC136" i="1" s="1"/>
  <c r="AB137" i="1"/>
  <c r="AC137" i="1" s="1"/>
  <c r="AB138" i="1"/>
  <c r="AC138" i="1" s="1"/>
  <c r="AB139" i="1"/>
  <c r="AC139" i="1" s="1"/>
  <c r="AB140" i="1"/>
  <c r="AC140" i="1" s="1"/>
  <c r="AB141" i="1"/>
  <c r="AC141" i="1" s="1"/>
  <c r="AB142" i="1"/>
  <c r="AC142" i="1" s="1"/>
  <c r="AB143" i="1"/>
  <c r="AC143" i="1" s="1"/>
  <c r="AB144" i="1"/>
  <c r="AC144" i="1" s="1"/>
  <c r="AB145" i="1"/>
  <c r="AC145" i="1" s="1"/>
  <c r="AB146" i="1"/>
  <c r="AC146" i="1" s="1"/>
  <c r="AB147" i="1"/>
  <c r="AC147" i="1" s="1"/>
  <c r="AB148" i="1"/>
  <c r="AC148" i="1" s="1"/>
  <c r="AB149" i="1"/>
  <c r="AC149" i="1" s="1"/>
  <c r="AB150" i="1"/>
  <c r="AC150" i="1" s="1"/>
  <c r="AB151" i="1"/>
  <c r="AC151" i="1" s="1"/>
  <c r="AB152" i="1"/>
  <c r="AC152" i="1" s="1"/>
  <c r="AB153" i="1"/>
  <c r="AC153" i="1" s="1"/>
  <c r="AB154" i="1"/>
  <c r="AC154" i="1" s="1"/>
  <c r="AB155" i="1"/>
  <c r="AC155" i="1" s="1"/>
  <c r="AB156" i="1"/>
  <c r="AC156" i="1" s="1"/>
  <c r="AB157" i="1"/>
  <c r="AC157" i="1" s="1"/>
  <c r="AB158" i="1"/>
  <c r="AC158" i="1" s="1"/>
  <c r="AB159" i="1"/>
  <c r="AC159" i="1" s="1"/>
  <c r="AB160" i="1"/>
  <c r="AC160" i="1" s="1"/>
  <c r="AB161" i="1"/>
  <c r="AC161" i="1" s="1"/>
  <c r="AB162" i="1"/>
  <c r="AC162" i="1" s="1"/>
  <c r="AB163" i="1"/>
  <c r="AC163" i="1" s="1"/>
  <c r="AB164" i="1"/>
  <c r="AC164" i="1" s="1"/>
  <c r="AB165" i="1"/>
  <c r="AC165" i="1" s="1"/>
  <c r="AB166" i="1"/>
  <c r="AC166" i="1" s="1"/>
  <c r="AB167" i="1"/>
  <c r="AC167" i="1" s="1"/>
  <c r="AB168" i="1"/>
  <c r="AC168" i="1" s="1"/>
  <c r="AB169" i="1"/>
  <c r="AC169" i="1" s="1"/>
  <c r="AB170" i="1"/>
  <c r="AC170" i="1" s="1"/>
  <c r="AB171" i="1"/>
  <c r="AC171" i="1" s="1"/>
  <c r="AB172" i="1"/>
  <c r="AC172" i="1" s="1"/>
  <c r="AB173" i="1"/>
  <c r="AC173" i="1" s="1"/>
  <c r="AB174" i="1"/>
  <c r="AC174" i="1" s="1"/>
  <c r="AB175" i="1"/>
  <c r="AC175" i="1" s="1"/>
  <c r="AB176" i="1"/>
  <c r="AC176" i="1" s="1"/>
  <c r="AB177" i="1"/>
  <c r="AC177" i="1" s="1"/>
  <c r="AB178" i="1"/>
  <c r="AC178" i="1" s="1"/>
  <c r="AB179" i="1"/>
  <c r="AC179" i="1" s="1"/>
  <c r="AB180" i="1"/>
  <c r="AC180" i="1" s="1"/>
  <c r="AB181" i="1"/>
  <c r="AC181" i="1" s="1"/>
  <c r="AB182" i="1"/>
  <c r="AC182" i="1" s="1"/>
  <c r="AB183" i="1"/>
  <c r="AC183" i="1" s="1"/>
  <c r="AB184" i="1"/>
  <c r="AC184" i="1" s="1"/>
  <c r="AB185" i="1"/>
  <c r="AC185" i="1" s="1"/>
  <c r="AB186" i="1"/>
  <c r="AC186" i="1" s="1"/>
  <c r="AB187" i="1"/>
  <c r="AC187" i="1" s="1"/>
  <c r="AB188" i="1"/>
  <c r="AC188" i="1" s="1"/>
  <c r="AB189" i="1"/>
  <c r="AC189" i="1" s="1"/>
  <c r="AB190" i="1"/>
  <c r="AC190" i="1" s="1"/>
  <c r="AB191" i="1"/>
  <c r="AC191" i="1" s="1"/>
  <c r="AB192" i="1"/>
  <c r="AC192" i="1" s="1"/>
  <c r="AB193" i="1"/>
  <c r="AC193" i="1" s="1"/>
  <c r="AB194" i="1"/>
  <c r="AC194" i="1" s="1"/>
  <c r="AB195" i="1"/>
  <c r="AC195" i="1" s="1"/>
  <c r="AB196" i="1"/>
  <c r="AC196" i="1" s="1"/>
  <c r="AB197" i="1"/>
  <c r="AC197" i="1" s="1"/>
  <c r="AB198" i="1"/>
  <c r="AC198" i="1" s="1"/>
  <c r="AB199" i="1"/>
  <c r="AC199" i="1" s="1"/>
  <c r="AB200" i="1"/>
  <c r="AC200" i="1" s="1"/>
  <c r="AB201" i="1"/>
  <c r="AC201" i="1" s="1"/>
  <c r="AB202" i="1"/>
  <c r="AC202" i="1" s="1"/>
  <c r="AB203" i="1"/>
  <c r="AC203" i="1" s="1"/>
  <c r="AB204" i="1"/>
  <c r="AC204" i="1" s="1"/>
  <c r="AB205" i="1"/>
  <c r="AC205" i="1" s="1"/>
  <c r="AB206" i="1"/>
  <c r="AC206" i="1" s="1"/>
  <c r="AB207" i="1"/>
  <c r="AC207" i="1" s="1"/>
  <c r="AB208" i="1"/>
  <c r="AC208" i="1" s="1"/>
  <c r="AB209" i="1"/>
  <c r="AC209" i="1" s="1"/>
  <c r="AB210" i="1"/>
  <c r="AC210" i="1" s="1"/>
  <c r="AB211" i="1"/>
  <c r="AC211" i="1" s="1"/>
  <c r="AB212" i="1"/>
  <c r="AC212" i="1" s="1"/>
  <c r="AB213" i="1"/>
  <c r="AC213" i="1" s="1"/>
  <c r="AB214" i="1"/>
  <c r="AC214" i="1" s="1"/>
  <c r="AB215" i="1"/>
  <c r="AC215" i="1" s="1"/>
  <c r="AB216" i="1"/>
  <c r="AC216" i="1" s="1"/>
  <c r="AB217" i="1"/>
  <c r="AC217" i="1" s="1"/>
  <c r="AB218" i="1"/>
  <c r="AC218" i="1" s="1"/>
  <c r="AB219" i="1"/>
  <c r="AC219" i="1" s="1"/>
  <c r="AB220" i="1"/>
  <c r="AC220" i="1" s="1"/>
  <c r="AB221" i="1"/>
  <c r="AC221" i="1" s="1"/>
  <c r="AB222" i="1"/>
  <c r="AC222" i="1" s="1"/>
  <c r="AB223" i="1"/>
  <c r="AC223" i="1" s="1"/>
  <c r="AB224" i="1"/>
  <c r="AC224" i="1" s="1"/>
  <c r="AB225" i="1"/>
  <c r="AC225" i="1" s="1"/>
  <c r="AB226" i="1"/>
  <c r="AC226" i="1" s="1"/>
  <c r="AB227" i="1"/>
  <c r="AC227" i="1" s="1"/>
  <c r="AB228" i="1"/>
  <c r="AC228" i="1" s="1"/>
  <c r="AB229" i="1"/>
  <c r="AC229" i="1" s="1"/>
  <c r="AB230" i="1"/>
  <c r="AC230" i="1" s="1"/>
  <c r="AB231" i="1"/>
  <c r="AC231" i="1" s="1"/>
  <c r="AB232" i="1"/>
  <c r="AC232" i="1" s="1"/>
  <c r="AB233" i="1"/>
  <c r="AC233" i="1" s="1"/>
  <c r="AB234" i="1"/>
  <c r="AC234" i="1" s="1"/>
  <c r="AB235" i="1"/>
  <c r="AC235" i="1" s="1"/>
  <c r="AB236" i="1"/>
  <c r="AC236" i="1" s="1"/>
  <c r="AB237" i="1"/>
  <c r="AC237" i="1" s="1"/>
  <c r="AB238" i="1"/>
  <c r="AC238" i="1" s="1"/>
  <c r="AB239" i="1"/>
  <c r="AC239" i="1" s="1"/>
  <c r="AB240" i="1"/>
  <c r="AC240" i="1" s="1"/>
  <c r="AB241" i="1"/>
  <c r="AC241" i="1" s="1"/>
  <c r="AB242" i="1"/>
  <c r="AC242" i="1" s="1"/>
  <c r="AB243" i="1"/>
  <c r="AC243" i="1" s="1"/>
  <c r="AB244" i="1"/>
  <c r="AC244" i="1" s="1"/>
  <c r="AB245" i="1"/>
  <c r="AC245" i="1" s="1"/>
  <c r="AB246" i="1"/>
  <c r="AC246" i="1" s="1"/>
  <c r="AB247" i="1"/>
  <c r="AC247" i="1" s="1"/>
  <c r="AB248" i="1"/>
  <c r="AC248" i="1" s="1"/>
  <c r="AB249" i="1"/>
  <c r="AC249" i="1" s="1"/>
  <c r="AB250" i="1"/>
  <c r="AC250" i="1" s="1"/>
  <c r="AB251" i="1"/>
  <c r="AC251" i="1" s="1"/>
  <c r="AB252" i="1"/>
  <c r="AC252" i="1" s="1"/>
  <c r="AB253" i="1"/>
  <c r="AC253" i="1" s="1"/>
  <c r="AB254" i="1"/>
  <c r="AC254" i="1" s="1"/>
  <c r="AB255" i="1"/>
  <c r="AC255" i="1" s="1"/>
  <c r="AB256" i="1"/>
  <c r="AC256" i="1" s="1"/>
  <c r="AB257" i="1"/>
  <c r="AC257" i="1" s="1"/>
  <c r="AB258" i="1"/>
  <c r="AC258" i="1" s="1"/>
  <c r="AB259" i="1"/>
  <c r="AC259" i="1" s="1"/>
  <c r="AB260" i="1"/>
  <c r="AC260" i="1" s="1"/>
  <c r="AB261" i="1"/>
  <c r="AC261" i="1" s="1"/>
  <c r="AB262" i="1"/>
  <c r="AC262" i="1" s="1"/>
  <c r="AB263" i="1"/>
  <c r="AC263" i="1" s="1"/>
  <c r="AB264" i="1"/>
  <c r="AC264" i="1" s="1"/>
  <c r="AB265" i="1"/>
  <c r="AC265" i="1" s="1"/>
  <c r="AB266" i="1"/>
  <c r="AC266" i="1" s="1"/>
  <c r="AB267" i="1"/>
  <c r="AC267" i="1" s="1"/>
  <c r="AB268" i="1"/>
  <c r="AC268" i="1" s="1"/>
  <c r="AB269" i="1"/>
  <c r="AC269" i="1" s="1"/>
  <c r="AB270" i="1"/>
  <c r="AC270" i="1" s="1"/>
  <c r="AB271" i="1"/>
  <c r="AC271" i="1" s="1"/>
  <c r="AB272" i="1"/>
  <c r="AC272" i="1" s="1"/>
  <c r="AB273" i="1"/>
  <c r="AC273" i="1" s="1"/>
  <c r="AB274" i="1"/>
  <c r="AC274" i="1" s="1"/>
  <c r="AB275" i="1"/>
  <c r="AC275" i="1" s="1"/>
  <c r="AB276" i="1"/>
  <c r="AC276" i="1" s="1"/>
  <c r="AB277" i="1"/>
  <c r="AC277" i="1" s="1"/>
  <c r="AB278" i="1"/>
  <c r="AC278" i="1" s="1"/>
  <c r="AB279" i="1"/>
  <c r="AC279" i="1" s="1"/>
  <c r="AB280" i="1"/>
  <c r="AC280" i="1" s="1"/>
  <c r="AB281" i="1"/>
  <c r="AC281" i="1" s="1"/>
  <c r="AB282" i="1"/>
  <c r="AC282" i="1" s="1"/>
  <c r="AB283" i="1"/>
  <c r="AC283" i="1" s="1"/>
  <c r="AB284" i="1"/>
  <c r="AC284" i="1" s="1"/>
  <c r="AB285" i="1"/>
  <c r="AC285" i="1" s="1"/>
  <c r="AB286" i="1"/>
  <c r="AC286" i="1" s="1"/>
  <c r="AB287" i="1"/>
  <c r="AC287" i="1" s="1"/>
  <c r="AB288" i="1"/>
  <c r="AC288" i="1" s="1"/>
  <c r="AB289" i="1"/>
  <c r="AC289" i="1" s="1"/>
  <c r="AB290" i="1"/>
  <c r="AC290" i="1" s="1"/>
  <c r="AB291" i="1"/>
  <c r="AC291" i="1" s="1"/>
  <c r="AB292" i="1"/>
  <c r="AC292" i="1" s="1"/>
  <c r="AB293" i="1"/>
  <c r="AC293" i="1" s="1"/>
  <c r="AB294" i="1"/>
  <c r="AC294" i="1" s="1"/>
  <c r="AB295" i="1"/>
  <c r="AC295" i="1" s="1"/>
  <c r="AB296" i="1"/>
  <c r="AC296" i="1" s="1"/>
  <c r="AB297" i="1"/>
  <c r="AC297" i="1" s="1"/>
  <c r="AB298" i="1"/>
  <c r="AC298" i="1" s="1"/>
  <c r="AB299" i="1"/>
  <c r="AC299" i="1" s="1"/>
  <c r="AB300" i="1"/>
  <c r="AC300" i="1" s="1"/>
  <c r="AB301" i="1"/>
  <c r="AC301" i="1" s="1"/>
  <c r="AB302" i="1"/>
  <c r="AC302" i="1" s="1"/>
  <c r="AB3" i="1"/>
  <c r="AC3" i="1" s="1"/>
  <c r="U12" i="6"/>
  <c r="U18" i="6"/>
  <c r="U13" i="6"/>
  <c r="U14" i="6"/>
  <c r="U15" i="6"/>
  <c r="U17" i="6"/>
  <c r="U16" i="6"/>
  <c r="V7" i="6" l="1"/>
  <c r="Q16" i="6" s="1"/>
  <c r="V6" i="6"/>
  <c r="Q15" i="6" s="1"/>
  <c r="V5" i="6"/>
  <c r="W5" i="6" s="1"/>
  <c r="V3" i="6"/>
  <c r="Q12" i="6" s="1"/>
  <c r="V4" i="6"/>
  <c r="Q13" i="6" s="1"/>
  <c r="W7" i="6" l="1"/>
  <c r="W6" i="6"/>
  <c r="X3" i="6"/>
  <c r="X7" i="6"/>
  <c r="X6" i="6"/>
  <c r="W4" i="6"/>
  <c r="W3" i="6"/>
  <c r="X4" i="6"/>
  <c r="X5" i="6"/>
  <c r="Q14" i="6"/>
  <c r="Q17"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<sst xmlns="http://schemas.openxmlformats.org/spreadsheetml/2006/main" count="6341" uniqueCount="575">
  <si>
    <t>Shipment_ID</t>
  </si>
  <si>
    <t>Planned_Date</t>
  </si>
  <si>
    <t>Delivery_Date</t>
  </si>
  <si>
    <t>Project_Type</t>
  </si>
  <si>
    <t>Material_Category</t>
  </si>
  <si>
    <t>Supplier</t>
  </si>
  <si>
    <t>Origin_City</t>
  </si>
  <si>
    <t>Origin_State</t>
  </si>
  <si>
    <t>Destination_City</t>
  </si>
  <si>
    <t>Destination_State</t>
  </si>
  <si>
    <t>Priority</t>
  </si>
  <si>
    <t>Units_Shipped</t>
  </si>
  <si>
    <t>Units_Received</t>
  </si>
  <si>
    <t>Units_Damaged</t>
  </si>
  <si>
    <t>Distance_km</t>
  </si>
  <si>
    <t>Planned_Transit_Days</t>
  </si>
  <si>
    <t>Actual_Transit_Days</t>
  </si>
  <si>
    <t>Delay_Days</t>
  </si>
  <si>
    <t>Freight_Cost_NGN</t>
  </si>
  <si>
    <t>Budgeted_Freight_NGN</t>
  </si>
  <si>
    <t>Delivery_Status</t>
  </si>
  <si>
    <t>On_Time_Flag</t>
  </si>
  <si>
    <t>Damage_Rate</t>
  </si>
  <si>
    <t>Cost_Variance_NGN</t>
  </si>
  <si>
    <t>Cost_Variance_%</t>
  </si>
  <si>
    <t>LG-0001</t>
  </si>
  <si>
    <t>Mining Solar Hybrid</t>
  </si>
  <si>
    <t>Cables &amp; Protection</t>
  </si>
  <si>
    <t>GreenVolt Nigeria</t>
  </si>
  <si>
    <t>Kaduna</t>
  </si>
  <si>
    <t>Ilorin</t>
  </si>
  <si>
    <t>Kwara</t>
  </si>
  <si>
    <t>High</t>
  </si>
  <si>
    <t>Minor Delay</t>
  </si>
  <si>
    <t>LG-0002</t>
  </si>
  <si>
    <t>Community Solar Mini-grid</t>
  </si>
  <si>
    <t>Hybrid Inverters</t>
  </si>
  <si>
    <t>SunCore Energy</t>
  </si>
  <si>
    <t>Kano</t>
  </si>
  <si>
    <t>Awka</t>
  </si>
  <si>
    <t>Anambra</t>
  </si>
  <si>
    <t>Standard</t>
  </si>
  <si>
    <t>On Time</t>
  </si>
  <si>
    <t>LG-0003</t>
  </si>
  <si>
    <t>C&amp;I Solar Installation</t>
  </si>
  <si>
    <t>Mounting Structures</t>
  </si>
  <si>
    <t>SolarTech Supplies</t>
  </si>
  <si>
    <t>Calabar</t>
  </si>
  <si>
    <t>Cross River</t>
  </si>
  <si>
    <t>Minna</t>
  </si>
  <si>
    <t>Niger</t>
  </si>
  <si>
    <t>LG-0004</t>
  </si>
  <si>
    <t>Solar Panels</t>
  </si>
  <si>
    <t>PowerGrid Solutions</t>
  </si>
  <si>
    <t>Port Harcourt</t>
  </si>
  <si>
    <t>Rivers</t>
  </si>
  <si>
    <t>LG-0005</t>
  </si>
  <si>
    <t>Solar Water Pump</t>
  </si>
  <si>
    <t>Abeokuta</t>
  </si>
  <si>
    <t>Ogun</t>
  </si>
  <si>
    <t>Critical</t>
  </si>
  <si>
    <t>LG-0006</t>
  </si>
  <si>
    <t>School Solar Electrification</t>
  </si>
  <si>
    <t>EcoPower Logistics</t>
  </si>
  <si>
    <t>Jos</t>
  </si>
  <si>
    <t>Plateau</t>
  </si>
  <si>
    <t>LG-0007</t>
  </si>
  <si>
    <t>Lithium Batteries</t>
  </si>
  <si>
    <t>Umuahia</t>
  </si>
  <si>
    <t>Abia</t>
  </si>
  <si>
    <t>LG-0008</t>
  </si>
  <si>
    <t>LG-0009</t>
  </si>
  <si>
    <t>Lagos</t>
  </si>
  <si>
    <t>Ibadan</t>
  </si>
  <si>
    <t>Oyo</t>
  </si>
  <si>
    <t>Delayed</t>
  </si>
  <si>
    <t>LG-0010</t>
  </si>
  <si>
    <t>Healthcare Solar Backup</t>
  </si>
  <si>
    <t>LG-0011</t>
  </si>
  <si>
    <t>LG-0012</t>
  </si>
  <si>
    <t>Enugu</t>
  </si>
  <si>
    <t>LG-0013</t>
  </si>
  <si>
    <t>LG-0014</t>
  </si>
  <si>
    <t>LG-0015</t>
  </si>
  <si>
    <t>LG-0016</t>
  </si>
  <si>
    <t>Monitoring Equipment</t>
  </si>
  <si>
    <t>LG-0017</t>
  </si>
  <si>
    <t>LG-0018</t>
  </si>
  <si>
    <t>Benin City</t>
  </si>
  <si>
    <t>Edo</t>
  </si>
  <si>
    <t>LG-0019</t>
  </si>
  <si>
    <t>Asaba</t>
  </si>
  <si>
    <t>Delta</t>
  </si>
  <si>
    <t>LG-0020</t>
  </si>
  <si>
    <t>LG-0021</t>
  </si>
  <si>
    <t>LG-0022</t>
  </si>
  <si>
    <t>LG-0023</t>
  </si>
  <si>
    <t>LG-0024</t>
  </si>
  <si>
    <t>LG-0025</t>
  </si>
  <si>
    <t>LG-0026</t>
  </si>
  <si>
    <t>LG-0027</t>
  </si>
  <si>
    <t>LG-0028</t>
  </si>
  <si>
    <t>LG-0029</t>
  </si>
  <si>
    <t>Transformers</t>
  </si>
  <si>
    <t>LG-0030</t>
  </si>
  <si>
    <t>LG-0031</t>
  </si>
  <si>
    <t>LG-0032</t>
  </si>
  <si>
    <t>LG-0033</t>
  </si>
  <si>
    <t>LG-0034</t>
  </si>
  <si>
    <t>LG-0035</t>
  </si>
  <si>
    <t>LG-0036</t>
  </si>
  <si>
    <t>LG-0037</t>
  </si>
  <si>
    <t>LG-0038</t>
  </si>
  <si>
    <t>LG-0039</t>
  </si>
  <si>
    <t>LG-0040</t>
  </si>
  <si>
    <t>LG-0041</t>
  </si>
  <si>
    <t>LG-0042</t>
  </si>
  <si>
    <t>LG-0043</t>
  </si>
  <si>
    <t>LG-0044</t>
  </si>
  <si>
    <t>LG-0045</t>
  </si>
  <si>
    <t>LG-0046</t>
  </si>
  <si>
    <t>LG-0047</t>
  </si>
  <si>
    <t>LG-0048</t>
  </si>
  <si>
    <t>LG-0049</t>
  </si>
  <si>
    <t>LG-0050</t>
  </si>
  <si>
    <t>LG-0051</t>
  </si>
  <si>
    <t>LG-0052</t>
  </si>
  <si>
    <t>LG-0053</t>
  </si>
  <si>
    <t>LG-0054</t>
  </si>
  <si>
    <t>LG-0055</t>
  </si>
  <si>
    <t>LG-0056</t>
  </si>
  <si>
    <t>LG-0057</t>
  </si>
  <si>
    <t>LG-0058</t>
  </si>
  <si>
    <t>LG-0059</t>
  </si>
  <si>
    <t>LG-0060</t>
  </si>
  <si>
    <t>LG-0061</t>
  </si>
  <si>
    <t>LG-0062</t>
  </si>
  <si>
    <t>LG-0063</t>
  </si>
  <si>
    <t>LG-0064</t>
  </si>
  <si>
    <t>LG-0065</t>
  </si>
  <si>
    <t>LG-0066</t>
  </si>
  <si>
    <t>LG-0067</t>
  </si>
  <si>
    <t>LG-0068</t>
  </si>
  <si>
    <t>LG-0069</t>
  </si>
  <si>
    <t>LG-0070</t>
  </si>
  <si>
    <t>LG-0071</t>
  </si>
  <si>
    <t>LG-0072</t>
  </si>
  <si>
    <t>LG-0073</t>
  </si>
  <si>
    <t>LG-0074</t>
  </si>
  <si>
    <t>LG-0075</t>
  </si>
  <si>
    <t>LG-0076</t>
  </si>
  <si>
    <t>LG-0077</t>
  </si>
  <si>
    <t>LG-0078</t>
  </si>
  <si>
    <t>LG-0079</t>
  </si>
  <si>
    <t>LG-0080</t>
  </si>
  <si>
    <t>LG-0081</t>
  </si>
  <si>
    <t>LG-0082</t>
  </si>
  <si>
    <t>LG-0083</t>
  </si>
  <si>
    <t>LG-0084</t>
  </si>
  <si>
    <t>LG-0085</t>
  </si>
  <si>
    <t>LG-0086</t>
  </si>
  <si>
    <t>LG-0087</t>
  </si>
  <si>
    <t>LG-0088</t>
  </si>
  <si>
    <t>LG-0089</t>
  </si>
  <si>
    <t>LG-0090</t>
  </si>
  <si>
    <t>LG-0091</t>
  </si>
  <si>
    <t>LG-0092</t>
  </si>
  <si>
    <t>LG-0093</t>
  </si>
  <si>
    <t>LG-0094</t>
  </si>
  <si>
    <t>LG-0095</t>
  </si>
  <si>
    <t>LG-0096</t>
  </si>
  <si>
    <t>LG-0097</t>
  </si>
  <si>
    <t>LG-0098</t>
  </si>
  <si>
    <t>LG-0099</t>
  </si>
  <si>
    <t>LG-0100</t>
  </si>
  <si>
    <t>LG-0101</t>
  </si>
  <si>
    <t>LG-0102</t>
  </si>
  <si>
    <t>LG-0103</t>
  </si>
  <si>
    <t>LG-0104</t>
  </si>
  <si>
    <t>LG-0105</t>
  </si>
  <si>
    <t>LG-0106</t>
  </si>
  <si>
    <t>LG-0107</t>
  </si>
  <si>
    <t>LG-0108</t>
  </si>
  <si>
    <t>LG-0109</t>
  </si>
  <si>
    <t>LG-0110</t>
  </si>
  <si>
    <t>LG-0111</t>
  </si>
  <si>
    <t>LG-0112</t>
  </si>
  <si>
    <t>LG-0113</t>
  </si>
  <si>
    <t>LG-0114</t>
  </si>
  <si>
    <t>LG-0115</t>
  </si>
  <si>
    <t>LG-0116</t>
  </si>
  <si>
    <t>LG-0117</t>
  </si>
  <si>
    <t>LG-0118</t>
  </si>
  <si>
    <t>LG-0119</t>
  </si>
  <si>
    <t>LG-0120</t>
  </si>
  <si>
    <t>LG-0121</t>
  </si>
  <si>
    <t>LG-0122</t>
  </si>
  <si>
    <t>LG-0123</t>
  </si>
  <si>
    <t>LG-0124</t>
  </si>
  <si>
    <t>LG-0125</t>
  </si>
  <si>
    <t>LG-0126</t>
  </si>
  <si>
    <t>LG-0127</t>
  </si>
  <si>
    <t>LG-0128</t>
  </si>
  <si>
    <t>LG-0129</t>
  </si>
  <si>
    <t>LG-0130</t>
  </si>
  <si>
    <t>LG-0131</t>
  </si>
  <si>
    <t>LG-0132</t>
  </si>
  <si>
    <t>LG-0133</t>
  </si>
  <si>
    <t>LG-0134</t>
  </si>
  <si>
    <t>LG-0135</t>
  </si>
  <si>
    <t>LG-0136</t>
  </si>
  <si>
    <t>LG-0137</t>
  </si>
  <si>
    <t>LG-0138</t>
  </si>
  <si>
    <t>LG-0139</t>
  </si>
  <si>
    <t>LG-0140</t>
  </si>
  <si>
    <t>LG-0141</t>
  </si>
  <si>
    <t>LG-0142</t>
  </si>
  <si>
    <t>LG-0143</t>
  </si>
  <si>
    <t>LG-0144</t>
  </si>
  <si>
    <t>LG-0145</t>
  </si>
  <si>
    <t>LG-0146</t>
  </si>
  <si>
    <t>LG-0147</t>
  </si>
  <si>
    <t>LG-0148</t>
  </si>
  <si>
    <t>LG-0149</t>
  </si>
  <si>
    <t>LG-0150</t>
  </si>
  <si>
    <t>LG-0151</t>
  </si>
  <si>
    <t>LG-0152</t>
  </si>
  <si>
    <t>LG-0153</t>
  </si>
  <si>
    <t>LG-0154</t>
  </si>
  <si>
    <t>LG-0155</t>
  </si>
  <si>
    <t>LG-0156</t>
  </si>
  <si>
    <t>LG-0157</t>
  </si>
  <si>
    <t>LG-0158</t>
  </si>
  <si>
    <t>LG-0159</t>
  </si>
  <si>
    <t>LG-0160</t>
  </si>
  <si>
    <t>LG-0161</t>
  </si>
  <si>
    <t>LG-0162</t>
  </si>
  <si>
    <t>LG-0163</t>
  </si>
  <si>
    <t>LG-0164</t>
  </si>
  <si>
    <t>LG-0165</t>
  </si>
  <si>
    <t>LG-0166</t>
  </si>
  <si>
    <t>LG-0167</t>
  </si>
  <si>
    <t>LG-0168</t>
  </si>
  <si>
    <t>LG-0169</t>
  </si>
  <si>
    <t>LG-0170</t>
  </si>
  <si>
    <t>LG-0171</t>
  </si>
  <si>
    <t>LG-0172</t>
  </si>
  <si>
    <t>LG-0173</t>
  </si>
  <si>
    <t>LG-0174</t>
  </si>
  <si>
    <t>LG-0175</t>
  </si>
  <si>
    <t>LG-0176</t>
  </si>
  <si>
    <t>LG-0177</t>
  </si>
  <si>
    <t>LG-0178</t>
  </si>
  <si>
    <t>LG-0179</t>
  </si>
  <si>
    <t>LG-0180</t>
  </si>
  <si>
    <t>LG-0181</t>
  </si>
  <si>
    <t>LG-0182</t>
  </si>
  <si>
    <t>LG-0183</t>
  </si>
  <si>
    <t>LG-0184</t>
  </si>
  <si>
    <t>LG-0185</t>
  </si>
  <si>
    <t>LG-0186</t>
  </si>
  <si>
    <t>LG-0187</t>
  </si>
  <si>
    <t>LG-0188</t>
  </si>
  <si>
    <t>LG-0189</t>
  </si>
  <si>
    <t>LG-0190</t>
  </si>
  <si>
    <t>LG-0191</t>
  </si>
  <si>
    <t>LG-0192</t>
  </si>
  <si>
    <t>LG-0193</t>
  </si>
  <si>
    <t>LG-0194</t>
  </si>
  <si>
    <t>LG-0195</t>
  </si>
  <si>
    <t>LG-0196</t>
  </si>
  <si>
    <t>LG-0197</t>
  </si>
  <si>
    <t>LG-0198</t>
  </si>
  <si>
    <t>LG-0199</t>
  </si>
  <si>
    <t>LG-0200</t>
  </si>
  <si>
    <t>LG-0201</t>
  </si>
  <si>
    <t>LG-0202</t>
  </si>
  <si>
    <t>LG-0203</t>
  </si>
  <si>
    <t>LG-0204</t>
  </si>
  <si>
    <t>LG-0205</t>
  </si>
  <si>
    <t>LG-0206</t>
  </si>
  <si>
    <t>LG-0207</t>
  </si>
  <si>
    <t>LG-0208</t>
  </si>
  <si>
    <t>LG-0209</t>
  </si>
  <si>
    <t>LG-0210</t>
  </si>
  <si>
    <t>LG-0211</t>
  </si>
  <si>
    <t>LG-0212</t>
  </si>
  <si>
    <t>LG-0213</t>
  </si>
  <si>
    <t>LG-0214</t>
  </si>
  <si>
    <t>LG-0215</t>
  </si>
  <si>
    <t>LG-0216</t>
  </si>
  <si>
    <t>LG-0217</t>
  </si>
  <si>
    <t>LG-0218</t>
  </si>
  <si>
    <t>LG-0219</t>
  </si>
  <si>
    <t>LG-0220</t>
  </si>
  <si>
    <t>LG-0221</t>
  </si>
  <si>
    <t>LG-0222</t>
  </si>
  <si>
    <t>LG-0223</t>
  </si>
  <si>
    <t>LG-0224</t>
  </si>
  <si>
    <t>LG-0225</t>
  </si>
  <si>
    <t>LG-0226</t>
  </si>
  <si>
    <t>LG-0227</t>
  </si>
  <si>
    <t>LG-0228</t>
  </si>
  <si>
    <t>LG-0229</t>
  </si>
  <si>
    <t>LG-0230</t>
  </si>
  <si>
    <t>LG-0231</t>
  </si>
  <si>
    <t>LG-0232</t>
  </si>
  <si>
    <t>LG-0233</t>
  </si>
  <si>
    <t>LG-0234</t>
  </si>
  <si>
    <t>LG-0235</t>
  </si>
  <si>
    <t>LG-0236</t>
  </si>
  <si>
    <t>LG-0237</t>
  </si>
  <si>
    <t>LG-0238</t>
  </si>
  <si>
    <t>LG-0239</t>
  </si>
  <si>
    <t>LG-0240</t>
  </si>
  <si>
    <t>LG-0241</t>
  </si>
  <si>
    <t>LG-0242</t>
  </si>
  <si>
    <t>LG-0243</t>
  </si>
  <si>
    <t>LG-0244</t>
  </si>
  <si>
    <t>LG-0245</t>
  </si>
  <si>
    <t>LG-0246</t>
  </si>
  <si>
    <t>LG-0247</t>
  </si>
  <si>
    <t>LG-0248</t>
  </si>
  <si>
    <t>LG-0249</t>
  </si>
  <si>
    <t>LG-0250</t>
  </si>
  <si>
    <t>LG-0251</t>
  </si>
  <si>
    <t>LG-0252</t>
  </si>
  <si>
    <t>LG-0253</t>
  </si>
  <si>
    <t>LG-0254</t>
  </si>
  <si>
    <t>LG-0255</t>
  </si>
  <si>
    <t>LG-0256</t>
  </si>
  <si>
    <t>LG-0257</t>
  </si>
  <si>
    <t>LG-0258</t>
  </si>
  <si>
    <t>LG-0259</t>
  </si>
  <si>
    <t>LG-0260</t>
  </si>
  <si>
    <t>LG-0261</t>
  </si>
  <si>
    <t>LG-0262</t>
  </si>
  <si>
    <t>LG-0263</t>
  </si>
  <si>
    <t>LG-0264</t>
  </si>
  <si>
    <t>LG-0265</t>
  </si>
  <si>
    <t>LG-0266</t>
  </si>
  <si>
    <t>LG-0267</t>
  </si>
  <si>
    <t>LG-0268</t>
  </si>
  <si>
    <t>LG-0269</t>
  </si>
  <si>
    <t>LG-0270</t>
  </si>
  <si>
    <t>LG-0271</t>
  </si>
  <si>
    <t>LG-0272</t>
  </si>
  <si>
    <t>LG-0273</t>
  </si>
  <si>
    <t>LG-0274</t>
  </si>
  <si>
    <t>LG-0275</t>
  </si>
  <si>
    <t>LG-0276</t>
  </si>
  <si>
    <t>LG-0277</t>
  </si>
  <si>
    <t>LG-0278</t>
  </si>
  <si>
    <t>LG-0279</t>
  </si>
  <si>
    <t>LG-0280</t>
  </si>
  <si>
    <t>LG-0281</t>
  </si>
  <si>
    <t>LG-0282</t>
  </si>
  <si>
    <t>LG-0283</t>
  </si>
  <si>
    <t>LG-0284</t>
  </si>
  <si>
    <t>LG-0285</t>
  </si>
  <si>
    <t>LG-0286</t>
  </si>
  <si>
    <t>LG-0287</t>
  </si>
  <si>
    <t>LG-0288</t>
  </si>
  <si>
    <t>LG-0289</t>
  </si>
  <si>
    <t>LG-0290</t>
  </si>
  <si>
    <t>LG-0291</t>
  </si>
  <si>
    <t>LG-0292</t>
  </si>
  <si>
    <t>LG-0293</t>
  </si>
  <si>
    <t>LG-0294</t>
  </si>
  <si>
    <t>LG-0295</t>
  </si>
  <si>
    <t>LG-0296</t>
  </si>
  <si>
    <t>LG-0297</t>
  </si>
  <si>
    <t>LG-0298</t>
  </si>
  <si>
    <t>LG-0299</t>
  </si>
  <si>
    <t>LG-0300</t>
  </si>
  <si>
    <t>Renewable Energy Supply Chain &amp; Logistics Performance Analysis</t>
  </si>
  <si>
    <t>Row Labels</t>
  </si>
  <si>
    <t>Grand Total</t>
  </si>
  <si>
    <t>Count of Shipment_ID</t>
  </si>
  <si>
    <t>Sum of Freight_Cost_NGN</t>
  </si>
  <si>
    <t>Sum of Cost_Variance_NGN</t>
  </si>
  <si>
    <t>Average of Delay_Days</t>
  </si>
  <si>
    <t>Average of On_Time_Flag</t>
  </si>
  <si>
    <t>Average of Damage_Rate</t>
  </si>
  <si>
    <t>Route</t>
  </si>
  <si>
    <t>Abia → Cross River</t>
  </si>
  <si>
    <t>Abia → Oyo</t>
  </si>
  <si>
    <t>Anambra → Delta</t>
  </si>
  <si>
    <t>Cross River → Lagos</t>
  </si>
  <si>
    <t>Delta → Edo</t>
  </si>
  <si>
    <t>Delta → Kano</t>
  </si>
  <si>
    <t>Delta → Oyo</t>
  </si>
  <si>
    <t>Delta → Rivers</t>
  </si>
  <si>
    <t>Edo → Kano</t>
  </si>
  <si>
    <t>Edo → Kwara</t>
  </si>
  <si>
    <t>Edo → Ogun</t>
  </si>
  <si>
    <t>Enugu → Abia</t>
  </si>
  <si>
    <t>Kaduna → Cross River</t>
  </si>
  <si>
    <t>Kaduna → Plateau</t>
  </si>
  <si>
    <t>Kano → Kwara</t>
  </si>
  <si>
    <t>Kwara → Edo</t>
  </si>
  <si>
    <t>Kwara → Kano</t>
  </si>
  <si>
    <t>Lagos → Delta</t>
  </si>
  <si>
    <t>Niger → Delta</t>
  </si>
  <si>
    <t>Niger → Kaduna</t>
  </si>
  <si>
    <t>Niger → Kano</t>
  </si>
  <si>
    <t>Niger → Ogun</t>
  </si>
  <si>
    <t>Ogun → Abia</t>
  </si>
  <si>
    <t>Oyo → Anambra</t>
  </si>
  <si>
    <t>Oyo → Cross River</t>
  </si>
  <si>
    <t>Plateau → Enugu</t>
  </si>
  <si>
    <t>Plateau → Kano</t>
  </si>
  <si>
    <t>Rivers → Cross River</t>
  </si>
  <si>
    <t>Rivers → Enugu</t>
  </si>
  <si>
    <t>Rivers → Kaduna</t>
  </si>
  <si>
    <t>Rivers → Lagos</t>
  </si>
  <si>
    <t>Rivers → Niger</t>
  </si>
  <si>
    <t>Rivers → Oyo</t>
  </si>
  <si>
    <t>Average of Cost_Variance_%</t>
  </si>
  <si>
    <t>What factors are associated with late deliveries?</t>
  </si>
  <si>
    <t>Sum of Actual_Transit_Days</t>
  </si>
  <si>
    <t>Distance Bands</t>
  </si>
  <si>
    <t>Sum of Budgeted_Freight_NGN</t>
  </si>
  <si>
    <t>Distance Category</t>
  </si>
  <si>
    <t>Freight Cost per KM</t>
  </si>
  <si>
    <t>Long</t>
  </si>
  <si>
    <t>Medium</t>
  </si>
  <si>
    <t>Short</t>
  </si>
  <si>
    <t>Very Long</t>
  </si>
  <si>
    <t>Which suppliers are performing best across on-time delivery, damage rate, and freight cost?</t>
  </si>
  <si>
    <t>Which origin-destination routes experience the highest delays and cost overruns?</t>
  </si>
  <si>
    <t>Chart A: Distance vs Delay</t>
  </si>
  <si>
    <t>Chart B: Priority vs Delay</t>
  </si>
  <si>
    <t>Chart C: Material vs Delay</t>
  </si>
  <si>
    <t>Which renewable-energy materials have the highest damage rates and shipment losses?</t>
  </si>
  <si>
    <t>Which suppliers and routes consistently exceed their freight budgets?</t>
  </si>
  <si>
    <t>Count of Units_Shipped</t>
  </si>
  <si>
    <t>Does longer transportation distance lead to higher freight costs, longer transit times, or greater damage?</t>
  </si>
  <si>
    <t>Which suppliers, routes, and materials should management prioritize for corrective action?</t>
  </si>
  <si>
    <t>Performance Score</t>
  </si>
  <si>
    <t>Damage Score</t>
  </si>
  <si>
    <t>Cost Score</t>
  </si>
  <si>
    <t>On-Time Score</t>
  </si>
  <si>
    <t>Rating</t>
  </si>
  <si>
    <t>Rank</t>
  </si>
  <si>
    <t>KPIs</t>
  </si>
  <si>
    <t>On-Time Delivery %</t>
  </si>
  <si>
    <t>Average Delay Days</t>
  </si>
  <si>
    <t>Damage Rate</t>
  </si>
  <si>
    <t>Total Freight Cost</t>
  </si>
  <si>
    <t>Total Cost Variance</t>
  </si>
  <si>
    <t>Total Shipment</t>
  </si>
  <si>
    <t>Today's Date</t>
  </si>
  <si>
    <t>Average</t>
  </si>
  <si>
    <t>Cost Variance</t>
  </si>
  <si>
    <t xml:space="preserve"> </t>
  </si>
  <si>
    <t>Abia → Anambra</t>
  </si>
  <si>
    <t>Abia → Delta</t>
  </si>
  <si>
    <t>Abia → Enugu</t>
  </si>
  <si>
    <t>Abia → Kaduna</t>
  </si>
  <si>
    <t>Abia → Lagos</t>
  </si>
  <si>
    <t>Abia → Niger</t>
  </si>
  <si>
    <t>Abia → Ogun</t>
  </si>
  <si>
    <t>Abia → Plateau</t>
  </si>
  <si>
    <t>Abia → Rivers</t>
  </si>
  <si>
    <t>Anambra → Cross River</t>
  </si>
  <si>
    <t>Anambra → Edo</t>
  </si>
  <si>
    <t>Anambra → Enugu</t>
  </si>
  <si>
    <t>Anambra → Kaduna</t>
  </si>
  <si>
    <t>Anambra → Lagos</t>
  </si>
  <si>
    <t>Anambra → Plateau</t>
  </si>
  <si>
    <t>Anambra → Rivers</t>
  </si>
  <si>
    <t>Cross River → Abia</t>
  </si>
  <si>
    <t>Cross River → Anambra</t>
  </si>
  <si>
    <t>Cross River → Delta</t>
  </si>
  <si>
    <t>Cross River → Kaduna</t>
  </si>
  <si>
    <t>Cross River → Kano</t>
  </si>
  <si>
    <t>Cross River → Kwara</t>
  </si>
  <si>
    <t>Cross River → Niger</t>
  </si>
  <si>
    <t>Cross River → Plateau</t>
  </si>
  <si>
    <t>Delta → Abia</t>
  </si>
  <si>
    <t>Delta → Anambra</t>
  </si>
  <si>
    <t>Delta → Cross River</t>
  </si>
  <si>
    <t>Delta → Enugu</t>
  </si>
  <si>
    <t>Delta → Ogun</t>
  </si>
  <si>
    <t>Delta → Plateau</t>
  </si>
  <si>
    <t>Edo → Anambra</t>
  </si>
  <si>
    <t>Edo → Cross River</t>
  </si>
  <si>
    <t>Edo → Enugu</t>
  </si>
  <si>
    <t>Edo → Kaduna</t>
  </si>
  <si>
    <t>Edo → Lagos</t>
  </si>
  <si>
    <t>Edo → Niger</t>
  </si>
  <si>
    <t>Enugu → Anambra</t>
  </si>
  <si>
    <t>Enugu → Kaduna</t>
  </si>
  <si>
    <t>Enugu → Kano</t>
  </si>
  <si>
    <t>Enugu → Kwara</t>
  </si>
  <si>
    <t>Enugu → Lagos</t>
  </si>
  <si>
    <t>Enugu → Niger</t>
  </si>
  <si>
    <t>Enugu → Ogun</t>
  </si>
  <si>
    <t>Enugu → Oyo</t>
  </si>
  <si>
    <t>Enugu → Rivers</t>
  </si>
  <si>
    <t>Kaduna → Abia</t>
  </si>
  <si>
    <t>Kaduna → Edo</t>
  </si>
  <si>
    <t>Kaduna → Enugu</t>
  </si>
  <si>
    <t>Kaduna → Kano</t>
  </si>
  <si>
    <t>Kaduna → Kwara</t>
  </si>
  <si>
    <t>Kaduna → Niger</t>
  </si>
  <si>
    <t>Kaduna → Oyo</t>
  </si>
  <si>
    <t>Kaduna → Rivers</t>
  </si>
  <si>
    <t>Kano → Abia</t>
  </si>
  <si>
    <t>Kano → Anambra</t>
  </si>
  <si>
    <t>Kano → Cross River</t>
  </si>
  <si>
    <t>Kano → Edo</t>
  </si>
  <si>
    <t>Kano → Enugu</t>
  </si>
  <si>
    <t>Kano → Lagos</t>
  </si>
  <si>
    <t>Kano → Niger</t>
  </si>
  <si>
    <t>Kwara → Abia</t>
  </si>
  <si>
    <t>Kwara → Anambra</t>
  </si>
  <si>
    <t>Kwara → Cross River</t>
  </si>
  <si>
    <t>Kwara → Enugu</t>
  </si>
  <si>
    <t>Kwara → Kaduna</t>
  </si>
  <si>
    <t>Kwara → Lagos</t>
  </si>
  <si>
    <t>Kwara → Niger</t>
  </si>
  <si>
    <t>Kwara → Ogun</t>
  </si>
  <si>
    <t>Kwara → Plateau</t>
  </si>
  <si>
    <t>Kwara → Rivers</t>
  </si>
  <si>
    <t>Lagos → Abia</t>
  </si>
  <si>
    <t>Lagos → Cross River</t>
  </si>
  <si>
    <t>Lagos → Enugu</t>
  </si>
  <si>
    <t>Lagos → Kaduna</t>
  </si>
  <si>
    <t>Lagos → Kano</t>
  </si>
  <si>
    <t>Lagos → Kwara</t>
  </si>
  <si>
    <t>Lagos → Niger</t>
  </si>
  <si>
    <t>Lagos → Ogun</t>
  </si>
  <si>
    <t>Lagos → Oyo</t>
  </si>
  <si>
    <t>Lagos → Plateau</t>
  </si>
  <si>
    <t>Lagos → Rivers</t>
  </si>
  <si>
    <t>Niger → Anambra</t>
  </si>
  <si>
    <t>Niger → Cross River</t>
  </si>
  <si>
    <t>Niger → Edo</t>
  </si>
  <si>
    <t>Niger → Kwara</t>
  </si>
  <si>
    <t>Niger → Lagos</t>
  </si>
  <si>
    <t>Niger → Oyo</t>
  </si>
  <si>
    <t>Niger → Plateau</t>
  </si>
  <si>
    <t>Ogun → Anambra</t>
  </si>
  <si>
    <t>Ogun → Cross River</t>
  </si>
  <si>
    <t>Ogun → Enugu</t>
  </si>
  <si>
    <t>Ogun → Kano</t>
  </si>
  <si>
    <t>Ogun → Kwara</t>
  </si>
  <si>
    <t>Ogun → Lagos</t>
  </si>
  <si>
    <t>Ogun → Oyo</t>
  </si>
  <si>
    <t>Ogun → Rivers</t>
  </si>
  <si>
    <t>Oyo → Abia</t>
  </si>
  <si>
    <t>Oyo → Delta</t>
  </si>
  <si>
    <t>Oyo → Edo</t>
  </si>
  <si>
    <t>Oyo → Enugu</t>
  </si>
  <si>
    <t>Oyo → Kwara</t>
  </si>
  <si>
    <t>Oyo → Lagos</t>
  </si>
  <si>
    <t>Oyo → Niger</t>
  </si>
  <si>
    <t>Oyo → Ogun</t>
  </si>
  <si>
    <t>Oyo → Plateau</t>
  </si>
  <si>
    <t>Plateau → Abia</t>
  </si>
  <si>
    <t>Plateau → Anambra</t>
  </si>
  <si>
    <t>Plateau → Cross River</t>
  </si>
  <si>
    <t>Plateau → Kwara</t>
  </si>
  <si>
    <t>Plateau → Lagos</t>
  </si>
  <si>
    <t>Plateau → Ogun</t>
  </si>
  <si>
    <t>Plateau → Rivers</t>
  </si>
  <si>
    <t>Rivers → Abia</t>
  </si>
  <si>
    <t>Rivers → Anambra</t>
  </si>
  <si>
    <t>Rivers → Delta</t>
  </si>
  <si>
    <t>Rivers → Kano</t>
  </si>
  <si>
    <t>Rivers → Kwara</t>
  </si>
  <si>
    <t>Rivers → Ogun</t>
  </si>
  <si>
    <t>Rivers → Plateau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</si>
</sst>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
    <numFmt numFmtId="165" formatCode="[&gt;=1000000]\₦0.00,,&quot;M&quot;;\₦0.0,&quot;K&quot;"/>
    <numFmt numFmtId="166" formatCode="\₦#,##0.0,&quot;K&quot;;\-\₦#,##0.0,&quot;K&quot;"/>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6"/>
      <color theme="0"/>
      <name val="Aptos Narrow"/>
      <family val="2"/>
      <scheme val="minor"/>
    </font>
  </fonts>
  <fills count="6">
    <fill>
      <patternFill patternType="none"/>
    </fill>
    <fill>
      <patternFill patternType="gray125"/>
    </fill>
    <fill>
      <patternFill patternType="solid">
        <fgColor rgb="FF3B4232"/>
        <bgColor indexed="64"/>
      </patternFill>
    </fill>
    <fill>
      <patternFill patternType="solid">
        <fgColor rgb="FF235D37"/>
        <bgColor indexed="64"/>
      </patternFill>
    </fill>
    <fill>
      <patternFill patternType="solid">
        <fgColor rgb="FFE9F2EB"/>
        <bgColor indexed="64"/>
      </patternFill>
    </fill>
    <fill>
      <patternFill patternType="solid">
        <fgColor rgb="FFF5F6F8"/>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14" fontId="0" fillId="0" borderId="0" xfId="0" applyNumberFormat="1"/>
    <xf numFmtId="164" fontId="0" fillId="0" borderId="0" xfId="0" applyNumberFormat="1"/>
    <xf numFmtId="0" fontId="2" fillId="0" borderId="0" xfId="0" applyFont="1"/>
    <xf numFmtId="0" fontId="0" fillId="3" borderId="0" xfId="0" applyFill="1"/>
    <xf numFmtId="14" fontId="0" fillId="3" borderId="0" xfId="0" applyNumberFormat="1" applyFill="1"/>
    <xf numFmtId="0" fontId="2" fillId="2" borderId="0" xfId="0" applyFont="1" applyFill="1"/>
    <xf numFmtId="14" fontId="2" fillId="2" borderId="0" xfId="0" applyNumberFormat="1" applyFont="1" applyFill="1"/>
    <xf numFmtId="0" fontId="0" fillId="4" borderId="0" xfId="0" applyFill="1"/>
    <xf numFmtId="0" fontId="0" fillId="0" borderId="0" xfId="0" pivotButton="1"/>
    <xf numFmtId="0" fontId="0" fillId="0" borderId="0" xfId="0" applyAlignment="1">
      <alignment horizontal="left"/>
    </xf>
    <xf numFmtId="2" fontId="0" fillId="0" borderId="0" xfId="0" applyNumberFormat="1"/>
    <xf numFmtId="9" fontId="0" fillId="0" borderId="0" xfId="0" applyNumberFormat="1"/>
    <xf numFmtId="1" fontId="0" fillId="0" borderId="0" xfId="0" applyNumberFormat="1"/>
    <xf numFmtId="0" fontId="0" fillId="0" borderId="0" xfId="0"/>
    <xf numFmtId="165" fontId="0" fillId="0" borderId="0" xfId="0" applyNumberFormat="1"/>
    <xf numFmtId="10" fontId="0" fillId="0" borderId="0" xfId="0" applyNumberFormat="1"/>
    <xf numFmtId="9" fontId="0" fillId="0" borderId="0" xfId="1" applyFont="1"/>
    <xf numFmtId="10" fontId="0" fillId="0" borderId="0" xfId="1" applyNumberFormat="1" applyFont="1"/>
    <xf numFmtId="166" fontId="0" fillId="0" borderId="0" xfId="0" applyNumberFormat="1"/>
    <xf numFmtId="0" fontId="3" fillId="3" borderId="0" xfId="0" applyFont="1" applyFill="1" applyAlignment="1">
      <alignment horizontal="center"/>
    </xf>
    <xf numFmtId="0" fontId="0" fillId="3" borderId="0" xfId="0" applyFont="1" applyFill="1" applyAlignment="1">
      <alignment horizontal="center"/>
    </xf>
    <xf numFmtId="0" fontId="0" fillId="5" borderId="0" xfId="0" applyFill="1"/>
  </cellXfs>
  <cellStyles count="2">
    <cellStyle name="Normal" xfId="0" builtinId="0"/>
    <cellStyle name="Percent" xfId="1" builtinId="5"/>
  </cellStyles>
  <dxfs count="30">
    <dxf>
      <font>
        <color rgb="FFC29A2B"/>
      </font>
      <border diagonalUp="0" diagonalDown="0">
        <left/>
        <right/>
        <top/>
        <bottom/>
        <vertical/>
        <horizontal/>
      </border>
    </dxf>
    <dxf>
      <font>
        <color theme="1"/>
      </font>
      <fill>
        <patternFill patternType="solid">
          <bgColor rgb="FF0B3022"/>
        </patternFill>
      </fill>
      <border diagonalUp="0" diagonalDown="0">
        <left/>
        <right/>
        <top/>
        <bottom/>
        <vertical/>
        <horizontal/>
      </border>
    </dxf>
    <dxf>
      <numFmt numFmtId="13" formatCode="0%"/>
    </dxf>
    <dxf>
      <numFmt numFmtId="14" formatCode="0.00%"/>
    </dxf>
    <dxf>
      <numFmt numFmtId="1" formatCode="0"/>
    </dxf>
    <dxf>
      <numFmt numFmtId="14" formatCode="0.00%"/>
    </dxf>
    <dxf>
      <numFmt numFmtId="164" formatCode="0.000"/>
    </dxf>
    <dxf>
      <numFmt numFmtId="2" formatCode="0.00"/>
    </dxf>
    <dxf>
      <numFmt numFmtId="1" formatCode="0"/>
    </dxf>
    <dxf>
      <numFmt numFmtId="165" formatCode="[&gt;=1000000]\₦0.00,,&quot;M&quot;;\₦0.0,&quot;K&quot;"/>
    </dxf>
    <dxf>
      <numFmt numFmtId="14" formatCode="0.00%"/>
    </dxf>
    <dxf>
      <numFmt numFmtId="14" formatCode="0.00%"/>
    </dxf>
    <dxf>
      <numFmt numFmtId="1" formatCode="0"/>
    </dxf>
    <dxf>
      <numFmt numFmtId="13" formatCode="0%"/>
    </dxf>
    <dxf>
      <numFmt numFmtId="14" formatCode="0.00%"/>
    </dxf>
    <dxf>
      <numFmt numFmtId="164" formatCode="0.000"/>
    </dxf>
    <dxf>
      <numFmt numFmtId="2" formatCode="0.00"/>
    </dxf>
    <dxf>
      <numFmt numFmtId="2" formatCode="0.00"/>
    </dxf>
    <dxf>
      <numFmt numFmtId="165" formatCode="[&gt;=1000000]\₦0.00,,&quot;M&quot;;\₦0.0,&quot;K&quot;"/>
    </dxf>
    <dxf>
      <numFmt numFmtId="165" formatCode="[&gt;=1000000]\₦0.00,,&quot;M&quot;;\₦0.0,&quot;K&quot;"/>
    </dxf>
    <dxf>
      <numFmt numFmtId="166" formatCode="\₦#,##0.0,&quot;K&quot;;\-\₦#,##0.0,&quot;K&quot;"/>
    </dxf>
    <dxf>
      <numFmt numFmtId="164" formatCode="0.000"/>
    </dxf>
    <dxf>
      <numFmt numFmtId="14" formatCode="0.00%"/>
    </dxf>
    <dxf>
      <numFmt numFmtId="0" formatCode="General"/>
    </dxf>
    <dxf>
      <numFmt numFmtId="0" formatCode="General"/>
    </dxf>
    <dxf>
      <numFmt numFmtId="0" formatCode="General"/>
    </dxf>
    <dxf>
      <numFmt numFmtId="0" formatCode="General"/>
    </dxf>
    <dxf>
      <numFmt numFmtId="19" formatCode="dd/mm/yyyy"/>
    </dxf>
    <dxf>
      <numFmt numFmtId="19" formatCode="dd/mm/yyyy"/>
    </dxf>
    <dxf>
      <font>
        <b/>
        <i val="0"/>
        <strike val="0"/>
        <condense val="0"/>
        <extend val="0"/>
        <outline val="0"/>
        <shadow val="0"/>
        <u val="none"/>
        <vertAlign val="baseline"/>
        <sz val="11"/>
        <color theme="1"/>
        <name val="Aptos Narrow"/>
        <family val="2"/>
        <scheme val="minor"/>
      </font>
      <fill>
        <patternFill patternType="solid">
          <fgColor indexed="64"/>
          <bgColor rgb="FF3B4232"/>
        </patternFill>
      </fill>
    </dxf>
  </dxfs>
  <tableStyles count="1" defaultTableStyle="TableStyleMedium2" defaultPivotStyle="PivotStyleLight16">
    <tableStyle name="NewSlicer" pivot="0" table="0" count="10" xr9:uid="{8251F8C7-B516-4433-89C4-1B46CDD010D9}">
      <tableStyleElement type="wholeTable" dxfId="1"/>
      <tableStyleElement type="headerRow" dxfId="0"/>
    </tableStyle>
  </tableStyles>
  <colors>
    <mruColors>
      <color rgb="FFC29A2B"/>
      <color rgb="FFF5F6F8"/>
      <color rgb="FF0B3022"/>
      <color rgb="FF103E66"/>
      <color rgb="FFF0F0F0"/>
      <color rgb="FFF8F9FA"/>
      <color rgb="FF2B2B2B"/>
      <color rgb="FF113F67"/>
      <color rgb="FFFDFEFE"/>
      <color rgb="FF1A1A1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29A2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2B2B2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2" tint="-9.9948118533890809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NewSlicer">
        <x14:slicerStyle name="New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Charts!$I$286:$I$524</c:f>
              <c:numCache>
                <c:formatCode>General</c:formatCode>
                <c:ptCount val="239"/>
                <c:pt idx="0">
                  <c:v>25</c:v>
                </c:pt>
                <c:pt idx="1">
                  <c:v>26</c:v>
                </c:pt>
                <c:pt idx="2">
                  <c:v>28</c:v>
                </c:pt>
                <c:pt idx="3">
                  <c:v>31</c:v>
                </c:pt>
                <c:pt idx="4">
                  <c:v>32</c:v>
                </c:pt>
                <c:pt idx="5">
                  <c:v>35</c:v>
                </c:pt>
                <c:pt idx="6">
                  <c:v>36</c:v>
                </c:pt>
                <c:pt idx="7">
                  <c:v>37</c:v>
                </c:pt>
                <c:pt idx="8">
                  <c:v>38</c:v>
                </c:pt>
                <c:pt idx="9">
                  <c:v>42</c:v>
                </c:pt>
                <c:pt idx="10">
                  <c:v>45</c:v>
                </c:pt>
                <c:pt idx="11">
                  <c:v>46</c:v>
                </c:pt>
                <c:pt idx="12">
                  <c:v>49</c:v>
                </c:pt>
                <c:pt idx="13">
                  <c:v>50</c:v>
                </c:pt>
                <c:pt idx="14">
                  <c:v>54</c:v>
                </c:pt>
                <c:pt idx="15">
                  <c:v>59</c:v>
                </c:pt>
                <c:pt idx="16">
                  <c:v>60</c:v>
                </c:pt>
                <c:pt idx="17">
                  <c:v>67</c:v>
                </c:pt>
                <c:pt idx="18">
                  <c:v>72</c:v>
                </c:pt>
                <c:pt idx="19">
                  <c:v>77</c:v>
                </c:pt>
                <c:pt idx="20">
                  <c:v>78</c:v>
                </c:pt>
                <c:pt idx="21">
                  <c:v>79</c:v>
                </c:pt>
                <c:pt idx="22">
                  <c:v>83</c:v>
                </c:pt>
                <c:pt idx="23">
                  <c:v>90</c:v>
                </c:pt>
                <c:pt idx="24">
                  <c:v>91</c:v>
                </c:pt>
                <c:pt idx="25">
                  <c:v>97</c:v>
                </c:pt>
                <c:pt idx="26">
                  <c:v>98</c:v>
                </c:pt>
                <c:pt idx="27">
                  <c:v>99</c:v>
                </c:pt>
                <c:pt idx="28">
                  <c:v>100</c:v>
                </c:pt>
                <c:pt idx="29">
                  <c:v>103</c:v>
                </c:pt>
                <c:pt idx="30">
                  <c:v>115</c:v>
                </c:pt>
                <c:pt idx="31">
                  <c:v>117</c:v>
                </c:pt>
                <c:pt idx="32">
                  <c:v>123</c:v>
                </c:pt>
                <c:pt idx="33">
                  <c:v>128</c:v>
                </c:pt>
                <c:pt idx="34">
                  <c:v>129</c:v>
                </c:pt>
                <c:pt idx="35">
                  <c:v>132</c:v>
                </c:pt>
                <c:pt idx="36">
                  <c:v>133</c:v>
                </c:pt>
                <c:pt idx="37">
                  <c:v>135</c:v>
                </c:pt>
                <c:pt idx="38">
                  <c:v>137</c:v>
                </c:pt>
                <c:pt idx="39">
                  <c:v>140</c:v>
                </c:pt>
                <c:pt idx="40">
                  <c:v>142</c:v>
                </c:pt>
                <c:pt idx="41">
                  <c:v>144</c:v>
                </c:pt>
                <c:pt idx="42">
                  <c:v>148</c:v>
                </c:pt>
                <c:pt idx="43">
                  <c:v>149</c:v>
                </c:pt>
                <c:pt idx="44">
                  <c:v>150</c:v>
                </c:pt>
                <c:pt idx="45">
                  <c:v>152</c:v>
                </c:pt>
                <c:pt idx="46">
                  <c:v>153</c:v>
                </c:pt>
                <c:pt idx="47">
                  <c:v>159</c:v>
                </c:pt>
                <c:pt idx="48">
                  <c:v>162</c:v>
                </c:pt>
                <c:pt idx="49">
                  <c:v>163</c:v>
                </c:pt>
                <c:pt idx="50">
                  <c:v>168</c:v>
                </c:pt>
                <c:pt idx="51">
                  <c:v>169</c:v>
                </c:pt>
                <c:pt idx="52">
                  <c:v>170</c:v>
                </c:pt>
                <c:pt idx="53">
                  <c:v>171</c:v>
                </c:pt>
                <c:pt idx="54">
                  <c:v>172</c:v>
                </c:pt>
                <c:pt idx="55">
                  <c:v>177</c:v>
                </c:pt>
                <c:pt idx="56">
                  <c:v>183</c:v>
                </c:pt>
                <c:pt idx="57">
                  <c:v>185</c:v>
                </c:pt>
                <c:pt idx="58">
                  <c:v>192</c:v>
                </c:pt>
                <c:pt idx="59">
                  <c:v>199</c:v>
                </c:pt>
                <c:pt idx="60">
                  <c:v>202</c:v>
                </c:pt>
                <c:pt idx="61">
                  <c:v>207</c:v>
                </c:pt>
                <c:pt idx="62">
                  <c:v>210</c:v>
                </c:pt>
                <c:pt idx="63">
                  <c:v>217</c:v>
                </c:pt>
                <c:pt idx="64">
                  <c:v>220</c:v>
                </c:pt>
                <c:pt idx="65">
                  <c:v>222</c:v>
                </c:pt>
                <c:pt idx="66">
                  <c:v>231</c:v>
                </c:pt>
                <c:pt idx="67">
                  <c:v>232</c:v>
                </c:pt>
                <c:pt idx="68">
                  <c:v>234</c:v>
                </c:pt>
                <c:pt idx="69">
                  <c:v>235</c:v>
                </c:pt>
                <c:pt idx="70">
                  <c:v>240</c:v>
                </c:pt>
                <c:pt idx="71">
                  <c:v>241</c:v>
                </c:pt>
                <c:pt idx="72">
                  <c:v>242</c:v>
                </c:pt>
                <c:pt idx="73">
                  <c:v>246</c:v>
                </c:pt>
                <c:pt idx="74">
                  <c:v>247</c:v>
                </c:pt>
                <c:pt idx="75">
                  <c:v>257</c:v>
                </c:pt>
                <c:pt idx="76">
                  <c:v>258</c:v>
                </c:pt>
                <c:pt idx="77">
                  <c:v>260</c:v>
                </c:pt>
                <c:pt idx="78">
                  <c:v>262</c:v>
                </c:pt>
                <c:pt idx="79">
                  <c:v>267</c:v>
                </c:pt>
                <c:pt idx="80">
                  <c:v>269</c:v>
                </c:pt>
                <c:pt idx="81">
                  <c:v>277</c:v>
                </c:pt>
                <c:pt idx="82">
                  <c:v>278</c:v>
                </c:pt>
                <c:pt idx="83">
                  <c:v>280</c:v>
                </c:pt>
                <c:pt idx="84">
                  <c:v>283</c:v>
                </c:pt>
                <c:pt idx="85">
                  <c:v>285</c:v>
                </c:pt>
                <c:pt idx="86">
                  <c:v>287</c:v>
                </c:pt>
                <c:pt idx="87">
                  <c:v>294</c:v>
                </c:pt>
                <c:pt idx="88">
                  <c:v>302</c:v>
                </c:pt>
                <c:pt idx="89">
                  <c:v>303</c:v>
                </c:pt>
                <c:pt idx="90">
                  <c:v>317</c:v>
                </c:pt>
                <c:pt idx="91">
                  <c:v>318</c:v>
                </c:pt>
                <c:pt idx="92">
                  <c:v>319</c:v>
                </c:pt>
                <c:pt idx="93">
                  <c:v>326</c:v>
                </c:pt>
                <c:pt idx="94">
                  <c:v>329</c:v>
                </c:pt>
                <c:pt idx="95">
                  <c:v>330</c:v>
                </c:pt>
                <c:pt idx="96">
                  <c:v>338</c:v>
                </c:pt>
                <c:pt idx="97">
                  <c:v>346</c:v>
                </c:pt>
                <c:pt idx="98">
                  <c:v>348</c:v>
                </c:pt>
                <c:pt idx="99">
                  <c:v>349</c:v>
                </c:pt>
                <c:pt idx="100">
                  <c:v>354</c:v>
                </c:pt>
                <c:pt idx="101">
                  <c:v>356</c:v>
                </c:pt>
                <c:pt idx="102">
                  <c:v>359</c:v>
                </c:pt>
                <c:pt idx="103">
                  <c:v>364</c:v>
                </c:pt>
                <c:pt idx="104">
                  <c:v>366</c:v>
                </c:pt>
                <c:pt idx="105">
                  <c:v>373</c:v>
                </c:pt>
                <c:pt idx="106">
                  <c:v>374</c:v>
                </c:pt>
                <c:pt idx="107">
                  <c:v>378</c:v>
                </c:pt>
                <c:pt idx="108">
                  <c:v>381</c:v>
                </c:pt>
                <c:pt idx="109">
                  <c:v>383</c:v>
                </c:pt>
                <c:pt idx="110">
                  <c:v>385</c:v>
                </c:pt>
                <c:pt idx="111">
                  <c:v>388</c:v>
                </c:pt>
                <c:pt idx="112">
                  <c:v>391</c:v>
                </c:pt>
                <c:pt idx="113">
                  <c:v>393</c:v>
                </c:pt>
                <c:pt idx="114">
                  <c:v>394</c:v>
                </c:pt>
                <c:pt idx="115">
                  <c:v>399</c:v>
                </c:pt>
                <c:pt idx="116">
                  <c:v>403</c:v>
                </c:pt>
                <c:pt idx="117">
                  <c:v>404</c:v>
                </c:pt>
                <c:pt idx="118">
                  <c:v>405</c:v>
                </c:pt>
                <c:pt idx="119">
                  <c:v>407</c:v>
                </c:pt>
                <c:pt idx="120">
                  <c:v>409</c:v>
                </c:pt>
                <c:pt idx="121">
                  <c:v>411</c:v>
                </c:pt>
                <c:pt idx="122">
                  <c:v>414</c:v>
                </c:pt>
                <c:pt idx="123">
                  <c:v>415</c:v>
                </c:pt>
                <c:pt idx="124">
                  <c:v>417</c:v>
                </c:pt>
                <c:pt idx="125">
                  <c:v>423</c:v>
                </c:pt>
                <c:pt idx="126">
                  <c:v>424</c:v>
                </c:pt>
                <c:pt idx="127">
                  <c:v>427</c:v>
                </c:pt>
                <c:pt idx="128">
                  <c:v>428</c:v>
                </c:pt>
                <c:pt idx="129">
                  <c:v>433</c:v>
                </c:pt>
                <c:pt idx="130">
                  <c:v>435</c:v>
                </c:pt>
                <c:pt idx="131">
                  <c:v>442</c:v>
                </c:pt>
                <c:pt idx="132">
                  <c:v>443</c:v>
                </c:pt>
                <c:pt idx="133">
                  <c:v>449</c:v>
                </c:pt>
                <c:pt idx="134">
                  <c:v>457</c:v>
                </c:pt>
                <c:pt idx="135">
                  <c:v>458</c:v>
                </c:pt>
                <c:pt idx="136">
                  <c:v>469</c:v>
                </c:pt>
                <c:pt idx="137">
                  <c:v>474</c:v>
                </c:pt>
                <c:pt idx="138">
                  <c:v>481</c:v>
                </c:pt>
                <c:pt idx="139">
                  <c:v>498</c:v>
                </c:pt>
                <c:pt idx="140">
                  <c:v>501</c:v>
                </c:pt>
                <c:pt idx="141">
                  <c:v>505</c:v>
                </c:pt>
                <c:pt idx="142">
                  <c:v>506</c:v>
                </c:pt>
                <c:pt idx="143">
                  <c:v>509</c:v>
                </c:pt>
                <c:pt idx="144">
                  <c:v>513</c:v>
                </c:pt>
                <c:pt idx="145">
                  <c:v>514</c:v>
                </c:pt>
                <c:pt idx="146">
                  <c:v>519</c:v>
                </c:pt>
                <c:pt idx="147">
                  <c:v>521</c:v>
                </c:pt>
                <c:pt idx="148">
                  <c:v>522</c:v>
                </c:pt>
                <c:pt idx="149">
                  <c:v>524</c:v>
                </c:pt>
                <c:pt idx="150">
                  <c:v>525</c:v>
                </c:pt>
                <c:pt idx="151">
                  <c:v>529</c:v>
                </c:pt>
                <c:pt idx="152">
                  <c:v>531</c:v>
                </c:pt>
                <c:pt idx="153">
                  <c:v>538</c:v>
                </c:pt>
                <c:pt idx="154">
                  <c:v>542</c:v>
                </c:pt>
                <c:pt idx="155">
                  <c:v>544</c:v>
                </c:pt>
                <c:pt idx="156">
                  <c:v>551</c:v>
                </c:pt>
                <c:pt idx="157">
                  <c:v>557</c:v>
                </c:pt>
                <c:pt idx="158">
                  <c:v>560</c:v>
                </c:pt>
                <c:pt idx="159">
                  <c:v>561</c:v>
                </c:pt>
                <c:pt idx="160">
                  <c:v>565</c:v>
                </c:pt>
                <c:pt idx="161">
                  <c:v>568</c:v>
                </c:pt>
                <c:pt idx="162">
                  <c:v>571</c:v>
                </c:pt>
                <c:pt idx="163">
                  <c:v>580</c:v>
                </c:pt>
                <c:pt idx="164">
                  <c:v>582</c:v>
                </c:pt>
                <c:pt idx="165">
                  <c:v>583</c:v>
                </c:pt>
                <c:pt idx="166">
                  <c:v>586</c:v>
                </c:pt>
                <c:pt idx="167">
                  <c:v>587</c:v>
                </c:pt>
                <c:pt idx="168">
                  <c:v>591</c:v>
                </c:pt>
                <c:pt idx="169">
                  <c:v>593</c:v>
                </c:pt>
                <c:pt idx="170">
                  <c:v>595</c:v>
                </c:pt>
                <c:pt idx="171">
                  <c:v>605</c:v>
                </c:pt>
                <c:pt idx="172">
                  <c:v>612</c:v>
                </c:pt>
                <c:pt idx="173">
                  <c:v>623</c:v>
                </c:pt>
                <c:pt idx="174">
                  <c:v>626</c:v>
                </c:pt>
                <c:pt idx="175">
                  <c:v>627</c:v>
                </c:pt>
                <c:pt idx="176">
                  <c:v>628</c:v>
                </c:pt>
                <c:pt idx="177">
                  <c:v>633</c:v>
                </c:pt>
                <c:pt idx="178">
                  <c:v>634</c:v>
                </c:pt>
                <c:pt idx="179">
                  <c:v>635</c:v>
                </c:pt>
                <c:pt idx="180">
                  <c:v>639</c:v>
                </c:pt>
                <c:pt idx="181">
                  <c:v>640</c:v>
                </c:pt>
                <c:pt idx="182">
                  <c:v>644</c:v>
                </c:pt>
                <c:pt idx="183">
                  <c:v>645</c:v>
                </c:pt>
                <c:pt idx="184">
                  <c:v>646</c:v>
                </c:pt>
                <c:pt idx="185">
                  <c:v>647</c:v>
                </c:pt>
                <c:pt idx="186">
                  <c:v>649</c:v>
                </c:pt>
                <c:pt idx="187">
                  <c:v>651</c:v>
                </c:pt>
                <c:pt idx="188">
                  <c:v>657</c:v>
                </c:pt>
                <c:pt idx="189">
                  <c:v>659</c:v>
                </c:pt>
                <c:pt idx="190">
                  <c:v>663</c:v>
                </c:pt>
                <c:pt idx="191">
                  <c:v>672</c:v>
                </c:pt>
                <c:pt idx="192">
                  <c:v>674</c:v>
                </c:pt>
                <c:pt idx="193">
                  <c:v>678</c:v>
                </c:pt>
                <c:pt idx="194">
                  <c:v>682</c:v>
                </c:pt>
                <c:pt idx="195">
                  <c:v>685</c:v>
                </c:pt>
                <c:pt idx="196">
                  <c:v>690</c:v>
                </c:pt>
                <c:pt idx="197">
                  <c:v>696</c:v>
                </c:pt>
                <c:pt idx="198">
                  <c:v>706</c:v>
                </c:pt>
                <c:pt idx="199">
                  <c:v>709</c:v>
                </c:pt>
                <c:pt idx="200">
                  <c:v>714</c:v>
                </c:pt>
                <c:pt idx="201">
                  <c:v>715</c:v>
                </c:pt>
                <c:pt idx="202">
                  <c:v>718</c:v>
                </c:pt>
                <c:pt idx="203">
                  <c:v>719</c:v>
                </c:pt>
                <c:pt idx="204">
                  <c:v>722</c:v>
                </c:pt>
                <c:pt idx="205">
                  <c:v>724</c:v>
                </c:pt>
                <c:pt idx="206">
                  <c:v>727</c:v>
                </c:pt>
                <c:pt idx="207">
                  <c:v>734</c:v>
                </c:pt>
                <c:pt idx="208">
                  <c:v>739</c:v>
                </c:pt>
                <c:pt idx="209">
                  <c:v>742</c:v>
                </c:pt>
                <c:pt idx="210">
                  <c:v>750</c:v>
                </c:pt>
                <c:pt idx="211">
                  <c:v>751</c:v>
                </c:pt>
                <c:pt idx="212">
                  <c:v>757</c:v>
                </c:pt>
                <c:pt idx="213">
                  <c:v>758</c:v>
                </c:pt>
                <c:pt idx="214">
                  <c:v>768</c:v>
                </c:pt>
                <c:pt idx="215">
                  <c:v>769</c:v>
                </c:pt>
                <c:pt idx="216">
                  <c:v>779</c:v>
                </c:pt>
                <c:pt idx="217">
                  <c:v>786</c:v>
                </c:pt>
                <c:pt idx="218">
                  <c:v>792</c:v>
                </c:pt>
                <c:pt idx="219">
                  <c:v>794</c:v>
                </c:pt>
                <c:pt idx="220">
                  <c:v>795</c:v>
                </c:pt>
                <c:pt idx="221">
                  <c:v>796</c:v>
                </c:pt>
                <c:pt idx="222">
                  <c:v>800</c:v>
                </c:pt>
                <c:pt idx="223">
                  <c:v>801</c:v>
                </c:pt>
                <c:pt idx="224">
                  <c:v>803</c:v>
                </c:pt>
                <c:pt idx="225">
                  <c:v>805</c:v>
                </c:pt>
                <c:pt idx="226">
                  <c:v>807</c:v>
                </c:pt>
                <c:pt idx="227">
                  <c:v>813</c:v>
                </c:pt>
                <c:pt idx="228">
                  <c:v>814</c:v>
                </c:pt>
                <c:pt idx="229">
                  <c:v>819</c:v>
                </c:pt>
                <c:pt idx="230">
                  <c:v>828</c:v>
                </c:pt>
                <c:pt idx="231">
                  <c:v>834</c:v>
                </c:pt>
                <c:pt idx="232">
                  <c:v>835</c:v>
                </c:pt>
                <c:pt idx="233">
                  <c:v>839</c:v>
                </c:pt>
                <c:pt idx="234">
                  <c:v>842</c:v>
                </c:pt>
                <c:pt idx="235">
                  <c:v>843</c:v>
                </c:pt>
                <c:pt idx="236">
                  <c:v>845</c:v>
                </c:pt>
                <c:pt idx="237">
                  <c:v>846</c:v>
                </c:pt>
                <c:pt idx="238">
                  <c:v>848</c:v>
                </c:pt>
              </c:numCache>
            </c:numRef>
          </c:xVal>
          <c:yVal>
            <c:numRef>
              <c:f>Charts!$J$286:$J$524</c:f>
              <c:numCache>
                <c:formatCode>General</c:formatCode>
                <c:ptCount val="239"/>
                <c:pt idx="0">
                  <c:v>3</c:v>
                </c:pt>
                <c:pt idx="1">
                  <c:v>4</c:v>
                </c:pt>
                <c:pt idx="2">
                  <c:v>8</c:v>
                </c:pt>
                <c:pt idx="3">
                  <c:v>3</c:v>
                </c:pt>
                <c:pt idx="4">
                  <c:v>9</c:v>
                </c:pt>
                <c:pt idx="5">
                  <c:v>6</c:v>
                </c:pt>
                <c:pt idx="6">
                  <c:v>7</c:v>
                </c:pt>
                <c:pt idx="7">
                  <c:v>5</c:v>
                </c:pt>
                <c:pt idx="8">
                  <c:v>5</c:v>
                </c:pt>
                <c:pt idx="9">
                  <c:v>1</c:v>
                </c:pt>
                <c:pt idx="10">
                  <c:v>5</c:v>
                </c:pt>
                <c:pt idx="11">
                  <c:v>8</c:v>
                </c:pt>
                <c:pt idx="12">
                  <c:v>3</c:v>
                </c:pt>
                <c:pt idx="13">
                  <c:v>8</c:v>
                </c:pt>
                <c:pt idx="14">
                  <c:v>2</c:v>
                </c:pt>
                <c:pt idx="15">
                  <c:v>6</c:v>
                </c:pt>
                <c:pt idx="16">
                  <c:v>6</c:v>
                </c:pt>
                <c:pt idx="17">
                  <c:v>10</c:v>
                </c:pt>
                <c:pt idx="18">
                  <c:v>6</c:v>
                </c:pt>
                <c:pt idx="19">
                  <c:v>8</c:v>
                </c:pt>
                <c:pt idx="20">
                  <c:v>4</c:v>
                </c:pt>
                <c:pt idx="21">
                  <c:v>5</c:v>
                </c:pt>
                <c:pt idx="22">
                  <c:v>10</c:v>
                </c:pt>
                <c:pt idx="23">
                  <c:v>6</c:v>
                </c:pt>
                <c:pt idx="24">
                  <c:v>6</c:v>
                </c:pt>
                <c:pt idx="25">
                  <c:v>6</c:v>
                </c:pt>
                <c:pt idx="26">
                  <c:v>5</c:v>
                </c:pt>
                <c:pt idx="27">
                  <c:v>3</c:v>
                </c:pt>
                <c:pt idx="28">
                  <c:v>4</c:v>
                </c:pt>
                <c:pt idx="29">
                  <c:v>3</c:v>
                </c:pt>
                <c:pt idx="30">
                  <c:v>4</c:v>
                </c:pt>
                <c:pt idx="31">
                  <c:v>3</c:v>
                </c:pt>
                <c:pt idx="32">
                  <c:v>5</c:v>
                </c:pt>
                <c:pt idx="33">
                  <c:v>13</c:v>
                </c:pt>
                <c:pt idx="34">
                  <c:v>10</c:v>
                </c:pt>
                <c:pt idx="35">
                  <c:v>1</c:v>
                </c:pt>
                <c:pt idx="36">
                  <c:v>15</c:v>
                </c:pt>
                <c:pt idx="37">
                  <c:v>4</c:v>
                </c:pt>
                <c:pt idx="38">
                  <c:v>2</c:v>
                </c:pt>
                <c:pt idx="39">
                  <c:v>8</c:v>
                </c:pt>
                <c:pt idx="40">
                  <c:v>13</c:v>
                </c:pt>
                <c:pt idx="41">
                  <c:v>5</c:v>
                </c:pt>
                <c:pt idx="42">
                  <c:v>3</c:v>
                </c:pt>
                <c:pt idx="43">
                  <c:v>6</c:v>
                </c:pt>
                <c:pt idx="44">
                  <c:v>2</c:v>
                </c:pt>
                <c:pt idx="45">
                  <c:v>2</c:v>
                </c:pt>
                <c:pt idx="46">
                  <c:v>6</c:v>
                </c:pt>
                <c:pt idx="47">
                  <c:v>2</c:v>
                </c:pt>
                <c:pt idx="48">
                  <c:v>13</c:v>
                </c:pt>
                <c:pt idx="49">
                  <c:v>13</c:v>
                </c:pt>
                <c:pt idx="50">
                  <c:v>6</c:v>
                </c:pt>
                <c:pt idx="51">
                  <c:v>9</c:v>
                </c:pt>
                <c:pt idx="52">
                  <c:v>10</c:v>
                </c:pt>
                <c:pt idx="53">
                  <c:v>7</c:v>
                </c:pt>
                <c:pt idx="54">
                  <c:v>2</c:v>
                </c:pt>
                <c:pt idx="55">
                  <c:v>4</c:v>
                </c:pt>
                <c:pt idx="56">
                  <c:v>2</c:v>
                </c:pt>
                <c:pt idx="57">
                  <c:v>13</c:v>
                </c:pt>
                <c:pt idx="58">
                  <c:v>5</c:v>
                </c:pt>
                <c:pt idx="59">
                  <c:v>17</c:v>
                </c:pt>
                <c:pt idx="60">
                  <c:v>2</c:v>
                </c:pt>
                <c:pt idx="61">
                  <c:v>6</c:v>
                </c:pt>
                <c:pt idx="62">
                  <c:v>7</c:v>
                </c:pt>
                <c:pt idx="63">
                  <c:v>7</c:v>
                </c:pt>
                <c:pt idx="64">
                  <c:v>16</c:v>
                </c:pt>
                <c:pt idx="65">
                  <c:v>9</c:v>
                </c:pt>
                <c:pt idx="66">
                  <c:v>8</c:v>
                </c:pt>
                <c:pt idx="67">
                  <c:v>6</c:v>
                </c:pt>
                <c:pt idx="68">
                  <c:v>5</c:v>
                </c:pt>
                <c:pt idx="69">
                  <c:v>14</c:v>
                </c:pt>
                <c:pt idx="70">
                  <c:v>5</c:v>
                </c:pt>
                <c:pt idx="71">
                  <c:v>14</c:v>
                </c:pt>
                <c:pt idx="72">
                  <c:v>19</c:v>
                </c:pt>
                <c:pt idx="73">
                  <c:v>5</c:v>
                </c:pt>
                <c:pt idx="74">
                  <c:v>6</c:v>
                </c:pt>
                <c:pt idx="75">
                  <c:v>7</c:v>
                </c:pt>
                <c:pt idx="76">
                  <c:v>4</c:v>
                </c:pt>
                <c:pt idx="77">
                  <c:v>6</c:v>
                </c:pt>
                <c:pt idx="78">
                  <c:v>4</c:v>
                </c:pt>
                <c:pt idx="79">
                  <c:v>8</c:v>
                </c:pt>
                <c:pt idx="80">
                  <c:v>4</c:v>
                </c:pt>
                <c:pt idx="81">
                  <c:v>12</c:v>
                </c:pt>
                <c:pt idx="82">
                  <c:v>6</c:v>
                </c:pt>
                <c:pt idx="83">
                  <c:v>6</c:v>
                </c:pt>
                <c:pt idx="84">
                  <c:v>4</c:v>
                </c:pt>
                <c:pt idx="85">
                  <c:v>4</c:v>
                </c:pt>
                <c:pt idx="86">
                  <c:v>3</c:v>
                </c:pt>
                <c:pt idx="87">
                  <c:v>1</c:v>
                </c:pt>
                <c:pt idx="88">
                  <c:v>3</c:v>
                </c:pt>
                <c:pt idx="89">
                  <c:v>5</c:v>
                </c:pt>
                <c:pt idx="90">
                  <c:v>9</c:v>
                </c:pt>
                <c:pt idx="91">
                  <c:v>6</c:v>
                </c:pt>
                <c:pt idx="92">
                  <c:v>6</c:v>
                </c:pt>
                <c:pt idx="93">
                  <c:v>2</c:v>
                </c:pt>
                <c:pt idx="94">
                  <c:v>4</c:v>
                </c:pt>
                <c:pt idx="95">
                  <c:v>11</c:v>
                </c:pt>
                <c:pt idx="96">
                  <c:v>3</c:v>
                </c:pt>
                <c:pt idx="97">
                  <c:v>17</c:v>
                </c:pt>
                <c:pt idx="98">
                  <c:v>6</c:v>
                </c:pt>
                <c:pt idx="99">
                  <c:v>6</c:v>
                </c:pt>
                <c:pt idx="100">
                  <c:v>2</c:v>
                </c:pt>
                <c:pt idx="101">
                  <c:v>2</c:v>
                </c:pt>
                <c:pt idx="102">
                  <c:v>1</c:v>
                </c:pt>
                <c:pt idx="103">
                  <c:v>5</c:v>
                </c:pt>
                <c:pt idx="104">
                  <c:v>7</c:v>
                </c:pt>
                <c:pt idx="105">
                  <c:v>7</c:v>
                </c:pt>
                <c:pt idx="106">
                  <c:v>3</c:v>
                </c:pt>
                <c:pt idx="107">
                  <c:v>7</c:v>
                </c:pt>
                <c:pt idx="108">
                  <c:v>9</c:v>
                </c:pt>
                <c:pt idx="109">
                  <c:v>1</c:v>
                </c:pt>
                <c:pt idx="110">
                  <c:v>13</c:v>
                </c:pt>
                <c:pt idx="111">
                  <c:v>8</c:v>
                </c:pt>
                <c:pt idx="112">
                  <c:v>1</c:v>
                </c:pt>
                <c:pt idx="113">
                  <c:v>10</c:v>
                </c:pt>
                <c:pt idx="114">
                  <c:v>11</c:v>
                </c:pt>
                <c:pt idx="115">
                  <c:v>15</c:v>
                </c:pt>
                <c:pt idx="116">
                  <c:v>4</c:v>
                </c:pt>
                <c:pt idx="117">
                  <c:v>9</c:v>
                </c:pt>
                <c:pt idx="118">
                  <c:v>6</c:v>
                </c:pt>
                <c:pt idx="119">
                  <c:v>3</c:v>
                </c:pt>
                <c:pt idx="120">
                  <c:v>5</c:v>
                </c:pt>
                <c:pt idx="121">
                  <c:v>4</c:v>
                </c:pt>
                <c:pt idx="122">
                  <c:v>6</c:v>
                </c:pt>
                <c:pt idx="123">
                  <c:v>10</c:v>
                </c:pt>
                <c:pt idx="124">
                  <c:v>2</c:v>
                </c:pt>
                <c:pt idx="125">
                  <c:v>6</c:v>
                </c:pt>
                <c:pt idx="126">
                  <c:v>6</c:v>
                </c:pt>
                <c:pt idx="127">
                  <c:v>4</c:v>
                </c:pt>
                <c:pt idx="128">
                  <c:v>6</c:v>
                </c:pt>
                <c:pt idx="129">
                  <c:v>8</c:v>
                </c:pt>
                <c:pt idx="130">
                  <c:v>5</c:v>
                </c:pt>
                <c:pt idx="131">
                  <c:v>9</c:v>
                </c:pt>
                <c:pt idx="132">
                  <c:v>4</c:v>
                </c:pt>
                <c:pt idx="133">
                  <c:v>8</c:v>
                </c:pt>
                <c:pt idx="134">
                  <c:v>5</c:v>
                </c:pt>
                <c:pt idx="135">
                  <c:v>4</c:v>
                </c:pt>
                <c:pt idx="136">
                  <c:v>5</c:v>
                </c:pt>
                <c:pt idx="137">
                  <c:v>8</c:v>
                </c:pt>
                <c:pt idx="138">
                  <c:v>5</c:v>
                </c:pt>
                <c:pt idx="139">
                  <c:v>6</c:v>
                </c:pt>
                <c:pt idx="140">
                  <c:v>7</c:v>
                </c:pt>
                <c:pt idx="141">
                  <c:v>2</c:v>
                </c:pt>
                <c:pt idx="142">
                  <c:v>9</c:v>
                </c:pt>
                <c:pt idx="143">
                  <c:v>8</c:v>
                </c:pt>
                <c:pt idx="144">
                  <c:v>7</c:v>
                </c:pt>
                <c:pt idx="145">
                  <c:v>2</c:v>
                </c:pt>
                <c:pt idx="146">
                  <c:v>5</c:v>
                </c:pt>
                <c:pt idx="147">
                  <c:v>11</c:v>
                </c:pt>
                <c:pt idx="148">
                  <c:v>8</c:v>
                </c:pt>
                <c:pt idx="149">
                  <c:v>7</c:v>
                </c:pt>
                <c:pt idx="150">
                  <c:v>1</c:v>
                </c:pt>
                <c:pt idx="151">
                  <c:v>5</c:v>
                </c:pt>
                <c:pt idx="152">
                  <c:v>6</c:v>
                </c:pt>
                <c:pt idx="153">
                  <c:v>6</c:v>
                </c:pt>
                <c:pt idx="154">
                  <c:v>3</c:v>
                </c:pt>
                <c:pt idx="155">
                  <c:v>19</c:v>
                </c:pt>
                <c:pt idx="156">
                  <c:v>3</c:v>
                </c:pt>
                <c:pt idx="157">
                  <c:v>17</c:v>
                </c:pt>
                <c:pt idx="158">
                  <c:v>4</c:v>
                </c:pt>
                <c:pt idx="159">
                  <c:v>2</c:v>
                </c:pt>
                <c:pt idx="160">
                  <c:v>6</c:v>
                </c:pt>
                <c:pt idx="161">
                  <c:v>9</c:v>
                </c:pt>
                <c:pt idx="162">
                  <c:v>2</c:v>
                </c:pt>
                <c:pt idx="163">
                  <c:v>2</c:v>
                </c:pt>
                <c:pt idx="164">
                  <c:v>9</c:v>
                </c:pt>
                <c:pt idx="165">
                  <c:v>7</c:v>
                </c:pt>
                <c:pt idx="166">
                  <c:v>13</c:v>
                </c:pt>
                <c:pt idx="167">
                  <c:v>6</c:v>
                </c:pt>
                <c:pt idx="168">
                  <c:v>7</c:v>
                </c:pt>
                <c:pt idx="169">
                  <c:v>3</c:v>
                </c:pt>
                <c:pt idx="170">
                  <c:v>16</c:v>
                </c:pt>
                <c:pt idx="171">
                  <c:v>3</c:v>
                </c:pt>
                <c:pt idx="172">
                  <c:v>5</c:v>
                </c:pt>
                <c:pt idx="173">
                  <c:v>4</c:v>
                </c:pt>
                <c:pt idx="174">
                  <c:v>7</c:v>
                </c:pt>
                <c:pt idx="175">
                  <c:v>4</c:v>
                </c:pt>
                <c:pt idx="176">
                  <c:v>4</c:v>
                </c:pt>
                <c:pt idx="177">
                  <c:v>7</c:v>
                </c:pt>
                <c:pt idx="178">
                  <c:v>7</c:v>
                </c:pt>
                <c:pt idx="179">
                  <c:v>7</c:v>
                </c:pt>
                <c:pt idx="180">
                  <c:v>13</c:v>
                </c:pt>
                <c:pt idx="181">
                  <c:v>5</c:v>
                </c:pt>
                <c:pt idx="182">
                  <c:v>6</c:v>
                </c:pt>
                <c:pt idx="183">
                  <c:v>10</c:v>
                </c:pt>
                <c:pt idx="184">
                  <c:v>2</c:v>
                </c:pt>
                <c:pt idx="185">
                  <c:v>18</c:v>
                </c:pt>
                <c:pt idx="186">
                  <c:v>7</c:v>
                </c:pt>
                <c:pt idx="187">
                  <c:v>6</c:v>
                </c:pt>
                <c:pt idx="188">
                  <c:v>6</c:v>
                </c:pt>
                <c:pt idx="189">
                  <c:v>4</c:v>
                </c:pt>
                <c:pt idx="190">
                  <c:v>8</c:v>
                </c:pt>
                <c:pt idx="191">
                  <c:v>1</c:v>
                </c:pt>
                <c:pt idx="192">
                  <c:v>8</c:v>
                </c:pt>
                <c:pt idx="193">
                  <c:v>6</c:v>
                </c:pt>
                <c:pt idx="194">
                  <c:v>8</c:v>
                </c:pt>
                <c:pt idx="195">
                  <c:v>2</c:v>
                </c:pt>
                <c:pt idx="196">
                  <c:v>11</c:v>
                </c:pt>
                <c:pt idx="197">
                  <c:v>18</c:v>
                </c:pt>
                <c:pt idx="198">
                  <c:v>6</c:v>
                </c:pt>
                <c:pt idx="199">
                  <c:v>4</c:v>
                </c:pt>
                <c:pt idx="200">
                  <c:v>4</c:v>
                </c:pt>
                <c:pt idx="201">
                  <c:v>5</c:v>
                </c:pt>
                <c:pt idx="202">
                  <c:v>5</c:v>
                </c:pt>
                <c:pt idx="203">
                  <c:v>10</c:v>
                </c:pt>
                <c:pt idx="204">
                  <c:v>5</c:v>
                </c:pt>
                <c:pt idx="205">
                  <c:v>3</c:v>
                </c:pt>
                <c:pt idx="206">
                  <c:v>9</c:v>
                </c:pt>
                <c:pt idx="207">
                  <c:v>6</c:v>
                </c:pt>
                <c:pt idx="208">
                  <c:v>6</c:v>
                </c:pt>
                <c:pt idx="209">
                  <c:v>6</c:v>
                </c:pt>
                <c:pt idx="210">
                  <c:v>3</c:v>
                </c:pt>
                <c:pt idx="211">
                  <c:v>9</c:v>
                </c:pt>
                <c:pt idx="212">
                  <c:v>3</c:v>
                </c:pt>
                <c:pt idx="213">
                  <c:v>6</c:v>
                </c:pt>
                <c:pt idx="214">
                  <c:v>5</c:v>
                </c:pt>
                <c:pt idx="215">
                  <c:v>7</c:v>
                </c:pt>
                <c:pt idx="216">
                  <c:v>5</c:v>
                </c:pt>
                <c:pt idx="217">
                  <c:v>11</c:v>
                </c:pt>
                <c:pt idx="218">
                  <c:v>8</c:v>
                </c:pt>
                <c:pt idx="219">
                  <c:v>6</c:v>
                </c:pt>
                <c:pt idx="220">
                  <c:v>7</c:v>
                </c:pt>
                <c:pt idx="221">
                  <c:v>9</c:v>
                </c:pt>
                <c:pt idx="222">
                  <c:v>11</c:v>
                </c:pt>
                <c:pt idx="223">
                  <c:v>2</c:v>
                </c:pt>
                <c:pt idx="224">
                  <c:v>5</c:v>
                </c:pt>
                <c:pt idx="225">
                  <c:v>10</c:v>
                </c:pt>
                <c:pt idx="226">
                  <c:v>3</c:v>
                </c:pt>
                <c:pt idx="227">
                  <c:v>15</c:v>
                </c:pt>
                <c:pt idx="228">
                  <c:v>9</c:v>
                </c:pt>
                <c:pt idx="229">
                  <c:v>4</c:v>
                </c:pt>
                <c:pt idx="230">
                  <c:v>23</c:v>
                </c:pt>
                <c:pt idx="231">
                  <c:v>15</c:v>
                </c:pt>
                <c:pt idx="232">
                  <c:v>3</c:v>
                </c:pt>
                <c:pt idx="233">
                  <c:v>6</c:v>
                </c:pt>
                <c:pt idx="234">
                  <c:v>8</c:v>
                </c:pt>
                <c:pt idx="235">
                  <c:v>12</c:v>
                </c:pt>
                <c:pt idx="236">
                  <c:v>7</c:v>
                </c:pt>
                <c:pt idx="237">
                  <c:v>5</c:v>
                </c:pt>
                <c:pt idx="238">
                  <c:v>3</c:v>
                </c:pt>
              </c:numCache>
            </c:numRef>
          </c:yVal>
          <c:smooth val="0"/>
          <c:extLst>
            <c:ext xmlns:c16="http://schemas.microsoft.com/office/drawing/2014/chart" uri="{C3380CC4-5D6E-409C-BE32-E72D297353CC}">
              <c16:uniqueId val="{00000000-0F01-4279-97FE-4131D1ECC727}"/>
            </c:ext>
          </c:extLst>
        </c:ser>
        <c:dLbls>
          <c:showLegendKey val="0"/>
          <c:showVal val="0"/>
          <c:showCatName val="0"/>
          <c:showSerName val="0"/>
          <c:showPercent val="0"/>
          <c:showBubbleSize val="0"/>
        </c:dLbls>
        <c:axId val="523182752"/>
        <c:axId val="548170120"/>
      </c:scatterChart>
      <c:valAx>
        <c:axId val="523182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70120"/>
        <c:crosses val="autoZero"/>
        <c:crossBetween val="midCat"/>
      </c:valAx>
      <c:valAx>
        <c:axId val="548170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Actual Transit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1827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Charts!$M$286:$M$524</c:f>
              <c:numCache>
                <c:formatCode>General</c:formatCode>
                <c:ptCount val="239"/>
                <c:pt idx="0">
                  <c:v>25</c:v>
                </c:pt>
                <c:pt idx="1">
                  <c:v>26</c:v>
                </c:pt>
                <c:pt idx="2">
                  <c:v>28</c:v>
                </c:pt>
                <c:pt idx="3">
                  <c:v>31</c:v>
                </c:pt>
                <c:pt idx="4">
                  <c:v>32</c:v>
                </c:pt>
                <c:pt idx="5">
                  <c:v>35</c:v>
                </c:pt>
                <c:pt idx="6">
                  <c:v>36</c:v>
                </c:pt>
                <c:pt idx="7">
                  <c:v>37</c:v>
                </c:pt>
                <c:pt idx="8">
                  <c:v>38</c:v>
                </c:pt>
                <c:pt idx="9">
                  <c:v>42</c:v>
                </c:pt>
                <c:pt idx="10">
                  <c:v>45</c:v>
                </c:pt>
                <c:pt idx="11">
                  <c:v>46</c:v>
                </c:pt>
                <c:pt idx="12">
                  <c:v>49</c:v>
                </c:pt>
                <c:pt idx="13">
                  <c:v>50</c:v>
                </c:pt>
                <c:pt idx="14">
                  <c:v>54</c:v>
                </c:pt>
                <c:pt idx="15">
                  <c:v>59</c:v>
                </c:pt>
                <c:pt idx="16">
                  <c:v>60</c:v>
                </c:pt>
                <c:pt idx="17">
                  <c:v>67</c:v>
                </c:pt>
                <c:pt idx="18">
                  <c:v>72</c:v>
                </c:pt>
                <c:pt idx="19">
                  <c:v>77</c:v>
                </c:pt>
                <c:pt idx="20">
                  <c:v>78</c:v>
                </c:pt>
                <c:pt idx="21">
                  <c:v>79</c:v>
                </c:pt>
                <c:pt idx="22">
                  <c:v>83</c:v>
                </c:pt>
                <c:pt idx="23">
                  <c:v>90</c:v>
                </c:pt>
                <c:pt idx="24">
                  <c:v>91</c:v>
                </c:pt>
                <c:pt idx="25">
                  <c:v>97</c:v>
                </c:pt>
                <c:pt idx="26">
                  <c:v>98</c:v>
                </c:pt>
                <c:pt idx="27">
                  <c:v>99</c:v>
                </c:pt>
                <c:pt idx="28">
                  <c:v>100</c:v>
                </c:pt>
                <c:pt idx="29">
                  <c:v>103</c:v>
                </c:pt>
                <c:pt idx="30">
                  <c:v>115</c:v>
                </c:pt>
                <c:pt idx="31">
                  <c:v>117</c:v>
                </c:pt>
                <c:pt idx="32">
                  <c:v>123</c:v>
                </c:pt>
                <c:pt idx="33">
                  <c:v>128</c:v>
                </c:pt>
                <c:pt idx="34">
                  <c:v>129</c:v>
                </c:pt>
                <c:pt idx="35">
                  <c:v>132</c:v>
                </c:pt>
                <c:pt idx="36">
                  <c:v>133</c:v>
                </c:pt>
                <c:pt idx="37">
                  <c:v>135</c:v>
                </c:pt>
                <c:pt idx="38">
                  <c:v>137</c:v>
                </c:pt>
                <c:pt idx="39">
                  <c:v>140</c:v>
                </c:pt>
                <c:pt idx="40">
                  <c:v>142</c:v>
                </c:pt>
                <c:pt idx="41">
                  <c:v>144</c:v>
                </c:pt>
                <c:pt idx="42">
                  <c:v>148</c:v>
                </c:pt>
                <c:pt idx="43">
                  <c:v>149</c:v>
                </c:pt>
                <c:pt idx="44">
                  <c:v>150</c:v>
                </c:pt>
                <c:pt idx="45">
                  <c:v>152</c:v>
                </c:pt>
                <c:pt idx="46">
                  <c:v>153</c:v>
                </c:pt>
                <c:pt idx="47">
                  <c:v>159</c:v>
                </c:pt>
                <c:pt idx="48">
                  <c:v>162</c:v>
                </c:pt>
                <c:pt idx="49">
                  <c:v>163</c:v>
                </c:pt>
                <c:pt idx="50">
                  <c:v>168</c:v>
                </c:pt>
                <c:pt idx="51">
                  <c:v>169</c:v>
                </c:pt>
                <c:pt idx="52">
                  <c:v>170</c:v>
                </c:pt>
                <c:pt idx="53">
                  <c:v>171</c:v>
                </c:pt>
                <c:pt idx="54">
                  <c:v>172</c:v>
                </c:pt>
                <c:pt idx="55">
                  <c:v>177</c:v>
                </c:pt>
                <c:pt idx="56">
                  <c:v>183</c:v>
                </c:pt>
                <c:pt idx="57">
                  <c:v>185</c:v>
                </c:pt>
                <c:pt idx="58">
                  <c:v>192</c:v>
                </c:pt>
                <c:pt idx="59">
                  <c:v>199</c:v>
                </c:pt>
                <c:pt idx="60">
                  <c:v>202</c:v>
                </c:pt>
                <c:pt idx="61">
                  <c:v>207</c:v>
                </c:pt>
                <c:pt idx="62">
                  <c:v>210</c:v>
                </c:pt>
                <c:pt idx="63">
                  <c:v>217</c:v>
                </c:pt>
                <c:pt idx="64">
                  <c:v>220</c:v>
                </c:pt>
                <c:pt idx="65">
                  <c:v>222</c:v>
                </c:pt>
                <c:pt idx="66">
                  <c:v>231</c:v>
                </c:pt>
                <c:pt idx="67">
                  <c:v>232</c:v>
                </c:pt>
                <c:pt idx="68">
                  <c:v>234</c:v>
                </c:pt>
                <c:pt idx="69">
                  <c:v>235</c:v>
                </c:pt>
                <c:pt idx="70">
                  <c:v>240</c:v>
                </c:pt>
                <c:pt idx="71">
                  <c:v>241</c:v>
                </c:pt>
                <c:pt idx="72">
                  <c:v>242</c:v>
                </c:pt>
                <c:pt idx="73">
                  <c:v>246</c:v>
                </c:pt>
                <c:pt idx="74">
                  <c:v>247</c:v>
                </c:pt>
                <c:pt idx="75">
                  <c:v>257</c:v>
                </c:pt>
                <c:pt idx="76">
                  <c:v>258</c:v>
                </c:pt>
                <c:pt idx="77">
                  <c:v>260</c:v>
                </c:pt>
                <c:pt idx="78">
                  <c:v>262</c:v>
                </c:pt>
                <c:pt idx="79">
                  <c:v>267</c:v>
                </c:pt>
                <c:pt idx="80">
                  <c:v>269</c:v>
                </c:pt>
                <c:pt idx="81">
                  <c:v>277</c:v>
                </c:pt>
                <c:pt idx="82">
                  <c:v>278</c:v>
                </c:pt>
                <c:pt idx="83">
                  <c:v>280</c:v>
                </c:pt>
                <c:pt idx="84">
                  <c:v>283</c:v>
                </c:pt>
                <c:pt idx="85">
                  <c:v>285</c:v>
                </c:pt>
                <c:pt idx="86">
                  <c:v>287</c:v>
                </c:pt>
                <c:pt idx="87">
                  <c:v>294</c:v>
                </c:pt>
                <c:pt idx="88">
                  <c:v>302</c:v>
                </c:pt>
                <c:pt idx="89">
                  <c:v>303</c:v>
                </c:pt>
                <c:pt idx="90">
                  <c:v>317</c:v>
                </c:pt>
                <c:pt idx="91">
                  <c:v>318</c:v>
                </c:pt>
                <c:pt idx="92">
                  <c:v>319</c:v>
                </c:pt>
                <c:pt idx="93">
                  <c:v>326</c:v>
                </c:pt>
                <c:pt idx="94">
                  <c:v>329</c:v>
                </c:pt>
                <c:pt idx="95">
                  <c:v>330</c:v>
                </c:pt>
                <c:pt idx="96">
                  <c:v>338</c:v>
                </c:pt>
                <c:pt idx="97">
                  <c:v>346</c:v>
                </c:pt>
                <c:pt idx="98">
                  <c:v>348</c:v>
                </c:pt>
                <c:pt idx="99">
                  <c:v>349</c:v>
                </c:pt>
                <c:pt idx="100">
                  <c:v>354</c:v>
                </c:pt>
                <c:pt idx="101">
                  <c:v>356</c:v>
                </c:pt>
                <c:pt idx="102">
                  <c:v>359</c:v>
                </c:pt>
                <c:pt idx="103">
                  <c:v>364</c:v>
                </c:pt>
                <c:pt idx="104">
                  <c:v>366</c:v>
                </c:pt>
                <c:pt idx="105">
                  <c:v>373</c:v>
                </c:pt>
                <c:pt idx="106">
                  <c:v>374</c:v>
                </c:pt>
                <c:pt idx="107">
                  <c:v>378</c:v>
                </c:pt>
                <c:pt idx="108">
                  <c:v>381</c:v>
                </c:pt>
                <c:pt idx="109">
                  <c:v>383</c:v>
                </c:pt>
                <c:pt idx="110">
                  <c:v>385</c:v>
                </c:pt>
                <c:pt idx="111">
                  <c:v>388</c:v>
                </c:pt>
                <c:pt idx="112">
                  <c:v>391</c:v>
                </c:pt>
                <c:pt idx="113">
                  <c:v>393</c:v>
                </c:pt>
                <c:pt idx="114">
                  <c:v>394</c:v>
                </c:pt>
                <c:pt idx="115">
                  <c:v>399</c:v>
                </c:pt>
                <c:pt idx="116">
                  <c:v>403</c:v>
                </c:pt>
                <c:pt idx="117">
                  <c:v>404</c:v>
                </c:pt>
                <c:pt idx="118">
                  <c:v>405</c:v>
                </c:pt>
                <c:pt idx="119">
                  <c:v>407</c:v>
                </c:pt>
                <c:pt idx="120">
                  <c:v>409</c:v>
                </c:pt>
                <c:pt idx="121">
                  <c:v>411</c:v>
                </c:pt>
                <c:pt idx="122">
                  <c:v>414</c:v>
                </c:pt>
                <c:pt idx="123">
                  <c:v>415</c:v>
                </c:pt>
                <c:pt idx="124">
                  <c:v>417</c:v>
                </c:pt>
                <c:pt idx="125">
                  <c:v>423</c:v>
                </c:pt>
                <c:pt idx="126">
                  <c:v>424</c:v>
                </c:pt>
                <c:pt idx="127">
                  <c:v>427</c:v>
                </c:pt>
                <c:pt idx="128">
                  <c:v>428</c:v>
                </c:pt>
                <c:pt idx="129">
                  <c:v>433</c:v>
                </c:pt>
                <c:pt idx="130">
                  <c:v>435</c:v>
                </c:pt>
                <c:pt idx="131">
                  <c:v>442</c:v>
                </c:pt>
                <c:pt idx="132">
                  <c:v>443</c:v>
                </c:pt>
                <c:pt idx="133">
                  <c:v>449</c:v>
                </c:pt>
                <c:pt idx="134">
                  <c:v>457</c:v>
                </c:pt>
                <c:pt idx="135">
                  <c:v>458</c:v>
                </c:pt>
                <c:pt idx="136">
                  <c:v>469</c:v>
                </c:pt>
                <c:pt idx="137">
                  <c:v>474</c:v>
                </c:pt>
                <c:pt idx="138">
                  <c:v>481</c:v>
                </c:pt>
                <c:pt idx="139">
                  <c:v>498</c:v>
                </c:pt>
                <c:pt idx="140">
                  <c:v>501</c:v>
                </c:pt>
                <c:pt idx="141">
                  <c:v>505</c:v>
                </c:pt>
                <c:pt idx="142">
                  <c:v>506</c:v>
                </c:pt>
                <c:pt idx="143">
                  <c:v>509</c:v>
                </c:pt>
                <c:pt idx="144">
                  <c:v>513</c:v>
                </c:pt>
                <c:pt idx="145">
                  <c:v>514</c:v>
                </c:pt>
                <c:pt idx="146">
                  <c:v>519</c:v>
                </c:pt>
                <c:pt idx="147">
                  <c:v>521</c:v>
                </c:pt>
                <c:pt idx="148">
                  <c:v>522</c:v>
                </c:pt>
                <c:pt idx="149">
                  <c:v>524</c:v>
                </c:pt>
                <c:pt idx="150">
                  <c:v>525</c:v>
                </c:pt>
                <c:pt idx="151">
                  <c:v>529</c:v>
                </c:pt>
                <c:pt idx="152">
                  <c:v>531</c:v>
                </c:pt>
                <c:pt idx="153">
                  <c:v>538</c:v>
                </c:pt>
                <c:pt idx="154">
                  <c:v>542</c:v>
                </c:pt>
                <c:pt idx="155">
                  <c:v>544</c:v>
                </c:pt>
                <c:pt idx="156">
                  <c:v>551</c:v>
                </c:pt>
                <c:pt idx="157">
                  <c:v>557</c:v>
                </c:pt>
                <c:pt idx="158">
                  <c:v>560</c:v>
                </c:pt>
                <c:pt idx="159">
                  <c:v>561</c:v>
                </c:pt>
                <c:pt idx="160">
                  <c:v>565</c:v>
                </c:pt>
                <c:pt idx="161">
                  <c:v>568</c:v>
                </c:pt>
                <c:pt idx="162">
                  <c:v>571</c:v>
                </c:pt>
                <c:pt idx="163">
                  <c:v>580</c:v>
                </c:pt>
                <c:pt idx="164">
                  <c:v>582</c:v>
                </c:pt>
                <c:pt idx="165">
                  <c:v>583</c:v>
                </c:pt>
                <c:pt idx="166">
                  <c:v>586</c:v>
                </c:pt>
                <c:pt idx="167">
                  <c:v>587</c:v>
                </c:pt>
                <c:pt idx="168">
                  <c:v>591</c:v>
                </c:pt>
                <c:pt idx="169">
                  <c:v>593</c:v>
                </c:pt>
                <c:pt idx="170">
                  <c:v>595</c:v>
                </c:pt>
                <c:pt idx="171">
                  <c:v>605</c:v>
                </c:pt>
                <c:pt idx="172">
                  <c:v>612</c:v>
                </c:pt>
                <c:pt idx="173">
                  <c:v>623</c:v>
                </c:pt>
                <c:pt idx="174">
                  <c:v>626</c:v>
                </c:pt>
                <c:pt idx="175">
                  <c:v>627</c:v>
                </c:pt>
                <c:pt idx="176">
                  <c:v>628</c:v>
                </c:pt>
                <c:pt idx="177">
                  <c:v>633</c:v>
                </c:pt>
                <c:pt idx="178">
                  <c:v>634</c:v>
                </c:pt>
                <c:pt idx="179">
                  <c:v>635</c:v>
                </c:pt>
                <c:pt idx="180">
                  <c:v>639</c:v>
                </c:pt>
                <c:pt idx="181">
                  <c:v>640</c:v>
                </c:pt>
                <c:pt idx="182">
                  <c:v>644</c:v>
                </c:pt>
                <c:pt idx="183">
                  <c:v>645</c:v>
                </c:pt>
                <c:pt idx="184">
                  <c:v>646</c:v>
                </c:pt>
                <c:pt idx="185">
                  <c:v>647</c:v>
                </c:pt>
                <c:pt idx="186">
                  <c:v>649</c:v>
                </c:pt>
                <c:pt idx="187">
                  <c:v>651</c:v>
                </c:pt>
                <c:pt idx="188">
                  <c:v>657</c:v>
                </c:pt>
                <c:pt idx="189">
                  <c:v>659</c:v>
                </c:pt>
                <c:pt idx="190">
                  <c:v>663</c:v>
                </c:pt>
                <c:pt idx="191">
                  <c:v>672</c:v>
                </c:pt>
                <c:pt idx="192">
                  <c:v>674</c:v>
                </c:pt>
                <c:pt idx="193">
                  <c:v>678</c:v>
                </c:pt>
                <c:pt idx="194">
                  <c:v>682</c:v>
                </c:pt>
                <c:pt idx="195">
                  <c:v>685</c:v>
                </c:pt>
                <c:pt idx="196">
                  <c:v>690</c:v>
                </c:pt>
                <c:pt idx="197">
                  <c:v>696</c:v>
                </c:pt>
                <c:pt idx="198">
                  <c:v>706</c:v>
                </c:pt>
                <c:pt idx="199">
                  <c:v>709</c:v>
                </c:pt>
                <c:pt idx="200">
                  <c:v>714</c:v>
                </c:pt>
                <c:pt idx="201">
                  <c:v>715</c:v>
                </c:pt>
                <c:pt idx="202">
                  <c:v>718</c:v>
                </c:pt>
                <c:pt idx="203">
                  <c:v>719</c:v>
                </c:pt>
                <c:pt idx="204">
                  <c:v>722</c:v>
                </c:pt>
                <c:pt idx="205">
                  <c:v>724</c:v>
                </c:pt>
                <c:pt idx="206">
                  <c:v>727</c:v>
                </c:pt>
                <c:pt idx="207">
                  <c:v>734</c:v>
                </c:pt>
                <c:pt idx="208">
                  <c:v>739</c:v>
                </c:pt>
                <c:pt idx="209">
                  <c:v>742</c:v>
                </c:pt>
                <c:pt idx="210">
                  <c:v>750</c:v>
                </c:pt>
                <c:pt idx="211">
                  <c:v>751</c:v>
                </c:pt>
                <c:pt idx="212">
                  <c:v>757</c:v>
                </c:pt>
                <c:pt idx="213">
                  <c:v>758</c:v>
                </c:pt>
                <c:pt idx="214">
                  <c:v>768</c:v>
                </c:pt>
                <c:pt idx="215">
                  <c:v>769</c:v>
                </c:pt>
                <c:pt idx="216">
                  <c:v>779</c:v>
                </c:pt>
                <c:pt idx="217">
                  <c:v>786</c:v>
                </c:pt>
                <c:pt idx="218">
                  <c:v>792</c:v>
                </c:pt>
                <c:pt idx="219">
                  <c:v>794</c:v>
                </c:pt>
                <c:pt idx="220">
                  <c:v>795</c:v>
                </c:pt>
                <c:pt idx="221">
                  <c:v>796</c:v>
                </c:pt>
                <c:pt idx="222">
                  <c:v>800</c:v>
                </c:pt>
                <c:pt idx="223">
                  <c:v>801</c:v>
                </c:pt>
                <c:pt idx="224">
                  <c:v>803</c:v>
                </c:pt>
                <c:pt idx="225">
                  <c:v>805</c:v>
                </c:pt>
                <c:pt idx="226">
                  <c:v>807</c:v>
                </c:pt>
                <c:pt idx="227">
                  <c:v>813</c:v>
                </c:pt>
                <c:pt idx="228">
                  <c:v>814</c:v>
                </c:pt>
                <c:pt idx="229">
                  <c:v>819</c:v>
                </c:pt>
                <c:pt idx="230">
                  <c:v>828</c:v>
                </c:pt>
                <c:pt idx="231">
                  <c:v>834</c:v>
                </c:pt>
                <c:pt idx="232">
                  <c:v>835</c:v>
                </c:pt>
                <c:pt idx="233">
                  <c:v>839</c:v>
                </c:pt>
                <c:pt idx="234">
                  <c:v>842</c:v>
                </c:pt>
                <c:pt idx="235">
                  <c:v>843</c:v>
                </c:pt>
                <c:pt idx="236">
                  <c:v>845</c:v>
                </c:pt>
                <c:pt idx="237">
                  <c:v>846</c:v>
                </c:pt>
                <c:pt idx="238">
                  <c:v>848</c:v>
                </c:pt>
              </c:numCache>
            </c:numRef>
          </c:xVal>
          <c:yVal>
            <c:numRef>
              <c:f>Charts!$N$286:$N$524</c:f>
              <c:numCache>
                <c:formatCode>0.00%</c:formatCode>
                <c:ptCount val="239"/>
                <c:pt idx="0">
                  <c:v>2.6315789473684209E-2</c:v>
                </c:pt>
                <c:pt idx="1">
                  <c:v>1.3333333333333334E-2</c:v>
                </c:pt>
                <c:pt idx="2">
                  <c:v>0</c:v>
                </c:pt>
                <c:pt idx="3">
                  <c:v>2.7777777777777776E-2</c:v>
                </c:pt>
                <c:pt idx="4">
                  <c:v>1.4492753623188406E-2</c:v>
                </c:pt>
                <c:pt idx="5">
                  <c:v>1.3157894736842105E-2</c:v>
                </c:pt>
                <c:pt idx="6">
                  <c:v>0</c:v>
                </c:pt>
                <c:pt idx="7">
                  <c:v>1.5503875968992248E-2</c:v>
                </c:pt>
                <c:pt idx="8">
                  <c:v>1.6949152542372881E-2</c:v>
                </c:pt>
                <c:pt idx="9">
                  <c:v>0</c:v>
                </c:pt>
                <c:pt idx="10">
                  <c:v>1.6129032258064516E-2</c:v>
                </c:pt>
                <c:pt idx="11">
                  <c:v>1.1363636363636364E-2</c:v>
                </c:pt>
                <c:pt idx="12">
                  <c:v>2.9166666666666667E-2</c:v>
                </c:pt>
                <c:pt idx="13">
                  <c:v>3.125E-2</c:v>
                </c:pt>
                <c:pt idx="14">
                  <c:v>7.9365079365079361E-3</c:v>
                </c:pt>
                <c:pt idx="15">
                  <c:v>3.2520325203252036E-2</c:v>
                </c:pt>
                <c:pt idx="16">
                  <c:v>0</c:v>
                </c:pt>
                <c:pt idx="17">
                  <c:v>3.1810294968189705E-2</c:v>
                </c:pt>
                <c:pt idx="18">
                  <c:v>2.7027027027027029E-2</c:v>
                </c:pt>
                <c:pt idx="19">
                  <c:v>0</c:v>
                </c:pt>
                <c:pt idx="20">
                  <c:v>0</c:v>
                </c:pt>
                <c:pt idx="21">
                  <c:v>0</c:v>
                </c:pt>
                <c:pt idx="22">
                  <c:v>2.2487593052109182E-2</c:v>
                </c:pt>
                <c:pt idx="23">
                  <c:v>8.1967213114754103E-3</c:v>
                </c:pt>
                <c:pt idx="24">
                  <c:v>1.4492753623188406E-2</c:v>
                </c:pt>
                <c:pt idx="25">
                  <c:v>2.0408163265306121E-2</c:v>
                </c:pt>
                <c:pt idx="26">
                  <c:v>1.9607843137254902E-2</c:v>
                </c:pt>
                <c:pt idx="27">
                  <c:v>2.8301886792452831E-2</c:v>
                </c:pt>
                <c:pt idx="28">
                  <c:v>2.8985507246376812E-2</c:v>
                </c:pt>
                <c:pt idx="29">
                  <c:v>3.4482758620689655E-2</c:v>
                </c:pt>
                <c:pt idx="30">
                  <c:v>2.9411764705882353E-2</c:v>
                </c:pt>
                <c:pt idx="31">
                  <c:v>1.1111111111111112E-2</c:v>
                </c:pt>
                <c:pt idx="32">
                  <c:v>4.7619047619047616E-2</c:v>
                </c:pt>
                <c:pt idx="33">
                  <c:v>1.4314768460575718E-2</c:v>
                </c:pt>
                <c:pt idx="34">
                  <c:v>2.564102564102564E-2</c:v>
                </c:pt>
                <c:pt idx="35">
                  <c:v>4.6052631578947366E-2</c:v>
                </c:pt>
                <c:pt idx="36">
                  <c:v>3.0303030303030304E-2</c:v>
                </c:pt>
                <c:pt idx="37">
                  <c:v>0</c:v>
                </c:pt>
                <c:pt idx="38">
                  <c:v>2.5157232704402517E-2</c:v>
                </c:pt>
                <c:pt idx="39">
                  <c:v>3.7037037037037035E-2</c:v>
                </c:pt>
                <c:pt idx="40">
                  <c:v>1.3904871499808208E-2</c:v>
                </c:pt>
                <c:pt idx="41">
                  <c:v>2.7397260273972601E-2</c:v>
                </c:pt>
                <c:pt idx="42">
                  <c:v>1.9736842105263157E-2</c:v>
                </c:pt>
                <c:pt idx="43">
                  <c:v>3.3707865168539325E-2</c:v>
                </c:pt>
                <c:pt idx="44">
                  <c:v>0</c:v>
                </c:pt>
                <c:pt idx="45">
                  <c:v>2.8169014084507043E-2</c:v>
                </c:pt>
                <c:pt idx="46">
                  <c:v>0</c:v>
                </c:pt>
                <c:pt idx="47">
                  <c:v>7.1428571428571426E-3</c:v>
                </c:pt>
                <c:pt idx="48">
                  <c:v>1.4705882352941176E-2</c:v>
                </c:pt>
                <c:pt idx="49">
                  <c:v>1.2500000000000001E-2</c:v>
                </c:pt>
                <c:pt idx="50">
                  <c:v>4.5161290322580643E-2</c:v>
                </c:pt>
                <c:pt idx="51">
                  <c:v>8.4745762711864406E-3</c:v>
                </c:pt>
                <c:pt idx="52">
                  <c:v>4.6296296296296294E-3</c:v>
                </c:pt>
                <c:pt idx="53">
                  <c:v>0.03</c:v>
                </c:pt>
                <c:pt idx="54">
                  <c:v>1.9867549668874173E-2</c:v>
                </c:pt>
                <c:pt idx="55">
                  <c:v>0</c:v>
                </c:pt>
                <c:pt idx="56">
                  <c:v>5.8139534883720929E-2</c:v>
                </c:pt>
                <c:pt idx="57">
                  <c:v>1.3333333333333334E-2</c:v>
                </c:pt>
                <c:pt idx="58">
                  <c:v>2.1739130434782608E-2</c:v>
                </c:pt>
                <c:pt idx="59">
                  <c:v>7.5783573552962707E-3</c:v>
                </c:pt>
                <c:pt idx="60">
                  <c:v>1.5625E-2</c:v>
                </c:pt>
                <c:pt idx="61">
                  <c:v>1.020408163265306E-2</c:v>
                </c:pt>
                <c:pt idx="62">
                  <c:v>4.2016806722689079E-2</c:v>
                </c:pt>
                <c:pt idx="63">
                  <c:v>0</c:v>
                </c:pt>
                <c:pt idx="64">
                  <c:v>1.3847910916531836E-2</c:v>
                </c:pt>
                <c:pt idx="65">
                  <c:v>0</c:v>
                </c:pt>
                <c:pt idx="66">
                  <c:v>1.3986013986013986E-2</c:v>
                </c:pt>
                <c:pt idx="67">
                  <c:v>1.6949152542372881E-2</c:v>
                </c:pt>
                <c:pt idx="68">
                  <c:v>0</c:v>
                </c:pt>
                <c:pt idx="69">
                  <c:v>3.4013605442176874E-2</c:v>
                </c:pt>
                <c:pt idx="70">
                  <c:v>8.8495575221238937E-3</c:v>
                </c:pt>
                <c:pt idx="71">
                  <c:v>2.2630992196209589E-2</c:v>
                </c:pt>
                <c:pt idx="72">
                  <c:v>1.0135135135135136E-2</c:v>
                </c:pt>
                <c:pt idx="73">
                  <c:v>0</c:v>
                </c:pt>
                <c:pt idx="74">
                  <c:v>2.8037383177570093E-2</c:v>
                </c:pt>
                <c:pt idx="75">
                  <c:v>6.25E-2</c:v>
                </c:pt>
                <c:pt idx="76">
                  <c:v>1.1111111111111112E-2</c:v>
                </c:pt>
                <c:pt idx="77">
                  <c:v>4.7619047619047616E-2</c:v>
                </c:pt>
                <c:pt idx="78">
                  <c:v>1.3605442176870748E-2</c:v>
                </c:pt>
                <c:pt idx="79">
                  <c:v>2.4793388429752067E-2</c:v>
                </c:pt>
                <c:pt idx="80">
                  <c:v>1.020408163265306E-2</c:v>
                </c:pt>
                <c:pt idx="81">
                  <c:v>1.7241379310344827E-2</c:v>
                </c:pt>
                <c:pt idx="82">
                  <c:v>0</c:v>
                </c:pt>
                <c:pt idx="83">
                  <c:v>2.1739130434782608E-2</c:v>
                </c:pt>
                <c:pt idx="84">
                  <c:v>2.4590163934426229E-2</c:v>
                </c:pt>
                <c:pt idx="85">
                  <c:v>2.0833333333333332E-2</c:v>
                </c:pt>
                <c:pt idx="86">
                  <c:v>8.4033613445378148E-3</c:v>
                </c:pt>
                <c:pt idx="87">
                  <c:v>1.8518518518518517E-2</c:v>
                </c:pt>
                <c:pt idx="88">
                  <c:v>4.878048780487805E-2</c:v>
                </c:pt>
                <c:pt idx="89">
                  <c:v>2.5316455696202531E-2</c:v>
                </c:pt>
                <c:pt idx="90">
                  <c:v>4.065040650406504E-2</c:v>
                </c:pt>
                <c:pt idx="91">
                  <c:v>4.3478260869565216E-2</c:v>
                </c:pt>
                <c:pt idx="92">
                  <c:v>2.2727272727272728E-2</c:v>
                </c:pt>
                <c:pt idx="93">
                  <c:v>2.4793388429752067E-2</c:v>
                </c:pt>
                <c:pt idx="94">
                  <c:v>1.1111111111111112E-2</c:v>
                </c:pt>
                <c:pt idx="95">
                  <c:v>1.73992673992674E-2</c:v>
                </c:pt>
                <c:pt idx="96">
                  <c:v>0</c:v>
                </c:pt>
                <c:pt idx="97">
                  <c:v>4.6296296296296294E-3</c:v>
                </c:pt>
                <c:pt idx="98">
                  <c:v>9.6153846153846159E-3</c:v>
                </c:pt>
                <c:pt idx="99">
                  <c:v>0</c:v>
                </c:pt>
                <c:pt idx="100">
                  <c:v>0</c:v>
                </c:pt>
                <c:pt idx="101">
                  <c:v>4.3478260869565216E-2</c:v>
                </c:pt>
                <c:pt idx="102">
                  <c:v>4.0816326530612242E-2</c:v>
                </c:pt>
                <c:pt idx="103">
                  <c:v>8.130081300813009E-3</c:v>
                </c:pt>
                <c:pt idx="104">
                  <c:v>0</c:v>
                </c:pt>
                <c:pt idx="105">
                  <c:v>1.5151515151515152E-2</c:v>
                </c:pt>
                <c:pt idx="106">
                  <c:v>0</c:v>
                </c:pt>
                <c:pt idx="107">
                  <c:v>3.1007751937984496E-2</c:v>
                </c:pt>
                <c:pt idx="108">
                  <c:v>2.7352607709750565E-2</c:v>
                </c:pt>
                <c:pt idx="109">
                  <c:v>0</c:v>
                </c:pt>
                <c:pt idx="110">
                  <c:v>2.9204880332699881E-2</c:v>
                </c:pt>
                <c:pt idx="111">
                  <c:v>1.5625E-2</c:v>
                </c:pt>
                <c:pt idx="112">
                  <c:v>3.125E-2</c:v>
                </c:pt>
                <c:pt idx="113">
                  <c:v>1.1627906976744186E-2</c:v>
                </c:pt>
                <c:pt idx="114">
                  <c:v>2.0134228187919462E-2</c:v>
                </c:pt>
                <c:pt idx="115">
                  <c:v>0</c:v>
                </c:pt>
                <c:pt idx="116">
                  <c:v>1.0752688172043012E-2</c:v>
                </c:pt>
                <c:pt idx="117">
                  <c:v>1.5384615384615385E-2</c:v>
                </c:pt>
                <c:pt idx="118">
                  <c:v>4.1666666666666664E-2</c:v>
                </c:pt>
                <c:pt idx="119">
                  <c:v>0</c:v>
                </c:pt>
                <c:pt idx="120">
                  <c:v>0.04</c:v>
                </c:pt>
                <c:pt idx="121">
                  <c:v>2.6666666666666668E-2</c:v>
                </c:pt>
                <c:pt idx="122">
                  <c:v>4.4117647058823532E-2</c:v>
                </c:pt>
                <c:pt idx="123">
                  <c:v>2.4758454106280192E-2</c:v>
                </c:pt>
                <c:pt idx="124">
                  <c:v>2.2900763358778626E-2</c:v>
                </c:pt>
                <c:pt idx="125">
                  <c:v>1.3710171568627451E-2</c:v>
                </c:pt>
                <c:pt idx="126">
                  <c:v>2.3809523809523808E-2</c:v>
                </c:pt>
                <c:pt idx="127">
                  <c:v>3.6045997346306945E-2</c:v>
                </c:pt>
                <c:pt idx="128">
                  <c:v>2.1749408983451537E-2</c:v>
                </c:pt>
                <c:pt idx="129">
                  <c:v>1.9230769230769232E-2</c:v>
                </c:pt>
                <c:pt idx="130">
                  <c:v>9.9009900990099011E-3</c:v>
                </c:pt>
                <c:pt idx="131">
                  <c:v>1.1764705882352941E-2</c:v>
                </c:pt>
                <c:pt idx="132">
                  <c:v>1.3333333333333334E-2</c:v>
                </c:pt>
                <c:pt idx="133">
                  <c:v>2.6237276237276237E-2</c:v>
                </c:pt>
                <c:pt idx="134">
                  <c:v>3.8461538461538464E-2</c:v>
                </c:pt>
                <c:pt idx="135">
                  <c:v>2.564102564102564E-2</c:v>
                </c:pt>
                <c:pt idx="136">
                  <c:v>2.564102564102564E-2</c:v>
                </c:pt>
                <c:pt idx="137">
                  <c:v>3.5714285714285712E-2</c:v>
                </c:pt>
                <c:pt idx="138">
                  <c:v>1.4084507042253521E-2</c:v>
                </c:pt>
                <c:pt idx="139">
                  <c:v>1.4492753623188406E-2</c:v>
                </c:pt>
                <c:pt idx="140">
                  <c:v>0</c:v>
                </c:pt>
                <c:pt idx="141">
                  <c:v>0</c:v>
                </c:pt>
                <c:pt idx="142">
                  <c:v>2.551622418879056E-2</c:v>
                </c:pt>
                <c:pt idx="143">
                  <c:v>2.9850746268656716E-2</c:v>
                </c:pt>
                <c:pt idx="144">
                  <c:v>3.1746031746031744E-2</c:v>
                </c:pt>
                <c:pt idx="145">
                  <c:v>1.5267175572519083E-2</c:v>
                </c:pt>
                <c:pt idx="146">
                  <c:v>2.5000000000000001E-2</c:v>
                </c:pt>
                <c:pt idx="147">
                  <c:v>2.6527979358168037E-2</c:v>
                </c:pt>
                <c:pt idx="148">
                  <c:v>2.797270955165692E-2</c:v>
                </c:pt>
                <c:pt idx="149">
                  <c:v>5.3846153846153849E-2</c:v>
                </c:pt>
                <c:pt idx="150">
                  <c:v>3.8461538461538464E-2</c:v>
                </c:pt>
                <c:pt idx="151">
                  <c:v>0</c:v>
                </c:pt>
                <c:pt idx="152">
                  <c:v>2.9411764705882353E-2</c:v>
                </c:pt>
                <c:pt idx="153">
                  <c:v>1.2903225806451613E-2</c:v>
                </c:pt>
                <c:pt idx="154">
                  <c:v>3.3898305084745763E-2</c:v>
                </c:pt>
                <c:pt idx="155">
                  <c:v>2.5062656641604009E-2</c:v>
                </c:pt>
                <c:pt idx="156">
                  <c:v>0</c:v>
                </c:pt>
                <c:pt idx="157">
                  <c:v>0</c:v>
                </c:pt>
                <c:pt idx="158">
                  <c:v>0</c:v>
                </c:pt>
                <c:pt idx="159">
                  <c:v>0</c:v>
                </c:pt>
                <c:pt idx="160">
                  <c:v>0</c:v>
                </c:pt>
                <c:pt idx="161">
                  <c:v>0</c:v>
                </c:pt>
                <c:pt idx="162">
                  <c:v>6.41025641025641E-3</c:v>
                </c:pt>
                <c:pt idx="163">
                  <c:v>8.9285714285714281E-3</c:v>
                </c:pt>
                <c:pt idx="164">
                  <c:v>2.4865591397849461E-2</c:v>
                </c:pt>
                <c:pt idx="165">
                  <c:v>0</c:v>
                </c:pt>
                <c:pt idx="166">
                  <c:v>0</c:v>
                </c:pt>
                <c:pt idx="167">
                  <c:v>3.1746031746031744E-2</c:v>
                </c:pt>
                <c:pt idx="168">
                  <c:v>1.8181818181818181E-2</c:v>
                </c:pt>
                <c:pt idx="169">
                  <c:v>1.834862385321101E-2</c:v>
                </c:pt>
                <c:pt idx="170">
                  <c:v>2.0002000200020003E-2</c:v>
                </c:pt>
                <c:pt idx="171">
                  <c:v>3.7735849056603772E-2</c:v>
                </c:pt>
                <c:pt idx="172">
                  <c:v>2.2222222222222223E-2</c:v>
                </c:pt>
                <c:pt idx="173">
                  <c:v>3.7499999999999999E-2</c:v>
                </c:pt>
                <c:pt idx="174">
                  <c:v>1.834862385321101E-2</c:v>
                </c:pt>
                <c:pt idx="175">
                  <c:v>0</c:v>
                </c:pt>
                <c:pt idx="176">
                  <c:v>1.1627906976744186E-2</c:v>
                </c:pt>
                <c:pt idx="177">
                  <c:v>2.9411764705882353E-2</c:v>
                </c:pt>
                <c:pt idx="178">
                  <c:v>1.8055555555555554E-2</c:v>
                </c:pt>
                <c:pt idx="179">
                  <c:v>2.1739130434782608E-2</c:v>
                </c:pt>
                <c:pt idx="180">
                  <c:v>2.5799222690812865E-2</c:v>
                </c:pt>
                <c:pt idx="181">
                  <c:v>2.0408163265306121E-2</c:v>
                </c:pt>
                <c:pt idx="182">
                  <c:v>0</c:v>
                </c:pt>
                <c:pt idx="183">
                  <c:v>1.0309278350515464E-2</c:v>
                </c:pt>
                <c:pt idx="184">
                  <c:v>3.1914893617021274E-2</c:v>
                </c:pt>
                <c:pt idx="185">
                  <c:v>1.4705882352941176E-2</c:v>
                </c:pt>
                <c:pt idx="186">
                  <c:v>0</c:v>
                </c:pt>
                <c:pt idx="187">
                  <c:v>3.125E-2</c:v>
                </c:pt>
                <c:pt idx="188">
                  <c:v>1.5873015873015872E-2</c:v>
                </c:pt>
                <c:pt idx="189">
                  <c:v>0</c:v>
                </c:pt>
                <c:pt idx="190">
                  <c:v>3.9215686274509803E-2</c:v>
                </c:pt>
                <c:pt idx="191">
                  <c:v>3.007518796992481E-2</c:v>
                </c:pt>
                <c:pt idx="192">
                  <c:v>1.1904761904761904E-2</c:v>
                </c:pt>
                <c:pt idx="193">
                  <c:v>6.7567567567567571E-3</c:v>
                </c:pt>
                <c:pt idx="194">
                  <c:v>1.1363636363636364E-2</c:v>
                </c:pt>
                <c:pt idx="195">
                  <c:v>0</c:v>
                </c:pt>
                <c:pt idx="196">
                  <c:v>1.7241379310344827E-2</c:v>
                </c:pt>
                <c:pt idx="197">
                  <c:v>2.3416287196865403E-2</c:v>
                </c:pt>
                <c:pt idx="198">
                  <c:v>2.5000000000000001E-2</c:v>
                </c:pt>
                <c:pt idx="199">
                  <c:v>4.5454545454545456E-2</c:v>
                </c:pt>
                <c:pt idx="200">
                  <c:v>7.246376811594203E-3</c:v>
                </c:pt>
                <c:pt idx="201">
                  <c:v>2.7027027027027029E-2</c:v>
                </c:pt>
                <c:pt idx="202">
                  <c:v>5.0847457627118647E-2</c:v>
                </c:pt>
                <c:pt idx="203">
                  <c:v>3.4188034188034191E-2</c:v>
                </c:pt>
                <c:pt idx="204">
                  <c:v>4.195804195804196E-2</c:v>
                </c:pt>
                <c:pt idx="205">
                  <c:v>3.5714285714285712E-2</c:v>
                </c:pt>
                <c:pt idx="206">
                  <c:v>6.993006993006993E-3</c:v>
                </c:pt>
                <c:pt idx="207">
                  <c:v>0</c:v>
                </c:pt>
                <c:pt idx="208">
                  <c:v>3.125E-2</c:v>
                </c:pt>
                <c:pt idx="209">
                  <c:v>3.125E-2</c:v>
                </c:pt>
                <c:pt idx="210">
                  <c:v>4.3478260869565216E-2</c:v>
                </c:pt>
                <c:pt idx="211">
                  <c:v>2.2505857688987541E-2</c:v>
                </c:pt>
                <c:pt idx="212">
                  <c:v>1.4285714285714285E-2</c:v>
                </c:pt>
                <c:pt idx="213">
                  <c:v>2.1897810218978103E-2</c:v>
                </c:pt>
                <c:pt idx="214">
                  <c:v>2.3255813953488372E-2</c:v>
                </c:pt>
                <c:pt idx="215">
                  <c:v>0</c:v>
                </c:pt>
                <c:pt idx="216">
                  <c:v>3.1746031746031744E-2</c:v>
                </c:pt>
                <c:pt idx="217">
                  <c:v>7.0422535211267607E-3</c:v>
                </c:pt>
                <c:pt idx="218">
                  <c:v>2.3255813953488372E-2</c:v>
                </c:pt>
                <c:pt idx="219">
                  <c:v>1.1235955056179775E-2</c:v>
                </c:pt>
                <c:pt idx="220">
                  <c:v>3.125E-2</c:v>
                </c:pt>
                <c:pt idx="221">
                  <c:v>0</c:v>
                </c:pt>
                <c:pt idx="222">
                  <c:v>3.7974683544303799E-2</c:v>
                </c:pt>
                <c:pt idx="223">
                  <c:v>0</c:v>
                </c:pt>
                <c:pt idx="224">
                  <c:v>1.0309278350515464E-2</c:v>
                </c:pt>
                <c:pt idx="225">
                  <c:v>2.4590163934426229E-2</c:v>
                </c:pt>
                <c:pt idx="226">
                  <c:v>0</c:v>
                </c:pt>
                <c:pt idx="227">
                  <c:v>3.2981875217845937E-2</c:v>
                </c:pt>
                <c:pt idx="228">
                  <c:v>1.6949152542372881E-2</c:v>
                </c:pt>
                <c:pt idx="229">
                  <c:v>2.1276595744680851E-2</c:v>
                </c:pt>
                <c:pt idx="230">
                  <c:v>1.1029411764705883E-2</c:v>
                </c:pt>
                <c:pt idx="231">
                  <c:v>7.3529411764705881E-3</c:v>
                </c:pt>
                <c:pt idx="232">
                  <c:v>1.7857142857142856E-2</c:v>
                </c:pt>
                <c:pt idx="233">
                  <c:v>1.5384615384615385E-2</c:v>
                </c:pt>
                <c:pt idx="234">
                  <c:v>1.0869565217391304E-2</c:v>
                </c:pt>
                <c:pt idx="235">
                  <c:v>3.7006802721088437E-2</c:v>
                </c:pt>
                <c:pt idx="236">
                  <c:v>2.8037383177570093E-2</c:v>
                </c:pt>
                <c:pt idx="237">
                  <c:v>3.7313432835820892E-2</c:v>
                </c:pt>
                <c:pt idx="238">
                  <c:v>3.2258064516129031E-2</c:v>
                </c:pt>
              </c:numCache>
            </c:numRef>
          </c:yVal>
          <c:smooth val="0"/>
          <c:extLst>
            <c:ext xmlns:c16="http://schemas.microsoft.com/office/drawing/2014/chart" uri="{C3380CC4-5D6E-409C-BE32-E72D297353CC}">
              <c16:uniqueId val="{00000000-C6B4-4104-A543-7357084BFCA5}"/>
            </c:ext>
          </c:extLst>
        </c:ser>
        <c:dLbls>
          <c:showLegendKey val="0"/>
          <c:showVal val="0"/>
          <c:showCatName val="0"/>
          <c:showSerName val="0"/>
          <c:showPercent val="0"/>
          <c:showBubbleSize val="0"/>
        </c:dLbls>
        <c:axId val="652609760"/>
        <c:axId val="652603280"/>
      </c:scatterChart>
      <c:valAx>
        <c:axId val="652609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603280"/>
        <c:crosses val="autoZero"/>
        <c:crossBetween val="midCat"/>
      </c:valAx>
      <c:valAx>
        <c:axId val="6526032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Damage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6097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Charts!$F$289:$F$527</c:f>
              <c:numCache>
                <c:formatCode>General</c:formatCode>
                <c:ptCount val="239"/>
                <c:pt idx="0">
                  <c:v>25</c:v>
                </c:pt>
                <c:pt idx="1">
                  <c:v>26</c:v>
                </c:pt>
                <c:pt idx="2">
                  <c:v>28</c:v>
                </c:pt>
                <c:pt idx="3">
                  <c:v>31</c:v>
                </c:pt>
                <c:pt idx="4">
                  <c:v>32</c:v>
                </c:pt>
                <c:pt idx="5">
                  <c:v>35</c:v>
                </c:pt>
                <c:pt idx="6">
                  <c:v>36</c:v>
                </c:pt>
                <c:pt idx="7">
                  <c:v>37</c:v>
                </c:pt>
                <c:pt idx="8">
                  <c:v>38</c:v>
                </c:pt>
                <c:pt idx="9">
                  <c:v>42</c:v>
                </c:pt>
                <c:pt idx="10">
                  <c:v>45</c:v>
                </c:pt>
                <c:pt idx="11">
                  <c:v>46</c:v>
                </c:pt>
                <c:pt idx="12">
                  <c:v>49</c:v>
                </c:pt>
                <c:pt idx="13">
                  <c:v>50</c:v>
                </c:pt>
                <c:pt idx="14">
                  <c:v>54</c:v>
                </c:pt>
                <c:pt idx="15">
                  <c:v>59</c:v>
                </c:pt>
                <c:pt idx="16">
                  <c:v>60</c:v>
                </c:pt>
                <c:pt idx="17">
                  <c:v>67</c:v>
                </c:pt>
                <c:pt idx="18">
                  <c:v>72</c:v>
                </c:pt>
                <c:pt idx="19">
                  <c:v>77</c:v>
                </c:pt>
                <c:pt idx="20">
                  <c:v>78</c:v>
                </c:pt>
                <c:pt idx="21">
                  <c:v>79</c:v>
                </c:pt>
                <c:pt idx="22">
                  <c:v>83</c:v>
                </c:pt>
                <c:pt idx="23">
                  <c:v>90</c:v>
                </c:pt>
                <c:pt idx="24">
                  <c:v>91</c:v>
                </c:pt>
                <c:pt idx="25">
                  <c:v>97</c:v>
                </c:pt>
                <c:pt idx="26">
                  <c:v>98</c:v>
                </c:pt>
                <c:pt idx="27">
                  <c:v>99</c:v>
                </c:pt>
                <c:pt idx="28">
                  <c:v>100</c:v>
                </c:pt>
                <c:pt idx="29">
                  <c:v>103</c:v>
                </c:pt>
                <c:pt idx="30">
                  <c:v>115</c:v>
                </c:pt>
                <c:pt idx="31">
                  <c:v>117</c:v>
                </c:pt>
                <c:pt idx="32">
                  <c:v>123</c:v>
                </c:pt>
                <c:pt idx="33">
                  <c:v>128</c:v>
                </c:pt>
                <c:pt idx="34">
                  <c:v>129</c:v>
                </c:pt>
                <c:pt idx="35">
                  <c:v>132</c:v>
                </c:pt>
                <c:pt idx="36">
                  <c:v>133</c:v>
                </c:pt>
                <c:pt idx="37">
                  <c:v>135</c:v>
                </c:pt>
                <c:pt idx="38">
                  <c:v>137</c:v>
                </c:pt>
                <c:pt idx="39">
                  <c:v>140</c:v>
                </c:pt>
                <c:pt idx="40">
                  <c:v>142</c:v>
                </c:pt>
                <c:pt idx="41">
                  <c:v>144</c:v>
                </c:pt>
                <c:pt idx="42">
                  <c:v>148</c:v>
                </c:pt>
                <c:pt idx="43">
                  <c:v>149</c:v>
                </c:pt>
                <c:pt idx="44">
                  <c:v>150</c:v>
                </c:pt>
                <c:pt idx="45">
                  <c:v>152</c:v>
                </c:pt>
                <c:pt idx="46">
                  <c:v>153</c:v>
                </c:pt>
                <c:pt idx="47">
                  <c:v>159</c:v>
                </c:pt>
                <c:pt idx="48">
                  <c:v>162</c:v>
                </c:pt>
                <c:pt idx="49">
                  <c:v>163</c:v>
                </c:pt>
                <c:pt idx="50">
                  <c:v>168</c:v>
                </c:pt>
                <c:pt idx="51">
                  <c:v>169</c:v>
                </c:pt>
                <c:pt idx="52">
                  <c:v>170</c:v>
                </c:pt>
                <c:pt idx="53">
                  <c:v>171</c:v>
                </c:pt>
                <c:pt idx="54">
                  <c:v>172</c:v>
                </c:pt>
                <c:pt idx="55">
                  <c:v>177</c:v>
                </c:pt>
                <c:pt idx="56">
                  <c:v>183</c:v>
                </c:pt>
                <c:pt idx="57">
                  <c:v>185</c:v>
                </c:pt>
                <c:pt idx="58">
                  <c:v>192</c:v>
                </c:pt>
                <c:pt idx="59">
                  <c:v>199</c:v>
                </c:pt>
                <c:pt idx="60">
                  <c:v>202</c:v>
                </c:pt>
                <c:pt idx="61">
                  <c:v>207</c:v>
                </c:pt>
                <c:pt idx="62">
                  <c:v>210</c:v>
                </c:pt>
                <c:pt idx="63">
                  <c:v>217</c:v>
                </c:pt>
                <c:pt idx="64">
                  <c:v>220</c:v>
                </c:pt>
                <c:pt idx="65">
                  <c:v>222</c:v>
                </c:pt>
                <c:pt idx="66">
                  <c:v>231</c:v>
                </c:pt>
                <c:pt idx="67">
                  <c:v>232</c:v>
                </c:pt>
                <c:pt idx="68">
                  <c:v>234</c:v>
                </c:pt>
                <c:pt idx="69">
                  <c:v>235</c:v>
                </c:pt>
                <c:pt idx="70">
                  <c:v>240</c:v>
                </c:pt>
                <c:pt idx="71">
                  <c:v>241</c:v>
                </c:pt>
                <c:pt idx="72">
                  <c:v>242</c:v>
                </c:pt>
                <c:pt idx="73">
                  <c:v>246</c:v>
                </c:pt>
                <c:pt idx="74">
                  <c:v>247</c:v>
                </c:pt>
                <c:pt idx="75">
                  <c:v>257</c:v>
                </c:pt>
                <c:pt idx="76">
                  <c:v>258</c:v>
                </c:pt>
                <c:pt idx="77">
                  <c:v>260</c:v>
                </c:pt>
                <c:pt idx="78">
                  <c:v>262</c:v>
                </c:pt>
                <c:pt idx="79">
                  <c:v>267</c:v>
                </c:pt>
                <c:pt idx="80">
                  <c:v>269</c:v>
                </c:pt>
                <c:pt idx="81">
                  <c:v>277</c:v>
                </c:pt>
                <c:pt idx="82">
                  <c:v>278</c:v>
                </c:pt>
                <c:pt idx="83">
                  <c:v>280</c:v>
                </c:pt>
                <c:pt idx="84">
                  <c:v>283</c:v>
                </c:pt>
                <c:pt idx="85">
                  <c:v>285</c:v>
                </c:pt>
                <c:pt idx="86">
                  <c:v>287</c:v>
                </c:pt>
                <c:pt idx="87">
                  <c:v>294</c:v>
                </c:pt>
                <c:pt idx="88">
                  <c:v>302</c:v>
                </c:pt>
                <c:pt idx="89">
                  <c:v>303</c:v>
                </c:pt>
                <c:pt idx="90">
                  <c:v>317</c:v>
                </c:pt>
                <c:pt idx="91">
                  <c:v>318</c:v>
                </c:pt>
                <c:pt idx="92">
                  <c:v>319</c:v>
                </c:pt>
                <c:pt idx="93">
                  <c:v>326</c:v>
                </c:pt>
                <c:pt idx="94">
                  <c:v>329</c:v>
                </c:pt>
                <c:pt idx="95">
                  <c:v>330</c:v>
                </c:pt>
                <c:pt idx="96">
                  <c:v>338</c:v>
                </c:pt>
                <c:pt idx="97">
                  <c:v>346</c:v>
                </c:pt>
                <c:pt idx="98">
                  <c:v>348</c:v>
                </c:pt>
                <c:pt idx="99">
                  <c:v>349</c:v>
                </c:pt>
                <c:pt idx="100">
                  <c:v>354</c:v>
                </c:pt>
                <c:pt idx="101">
                  <c:v>356</c:v>
                </c:pt>
                <c:pt idx="102">
                  <c:v>359</c:v>
                </c:pt>
                <c:pt idx="103">
                  <c:v>364</c:v>
                </c:pt>
                <c:pt idx="104">
                  <c:v>366</c:v>
                </c:pt>
                <c:pt idx="105">
                  <c:v>373</c:v>
                </c:pt>
                <c:pt idx="106">
                  <c:v>374</c:v>
                </c:pt>
                <c:pt idx="107">
                  <c:v>378</c:v>
                </c:pt>
                <c:pt idx="108">
                  <c:v>381</c:v>
                </c:pt>
                <c:pt idx="109">
                  <c:v>383</c:v>
                </c:pt>
                <c:pt idx="110">
                  <c:v>385</c:v>
                </c:pt>
                <c:pt idx="111">
                  <c:v>388</c:v>
                </c:pt>
                <c:pt idx="112">
                  <c:v>391</c:v>
                </c:pt>
                <c:pt idx="113">
                  <c:v>393</c:v>
                </c:pt>
                <c:pt idx="114">
                  <c:v>394</c:v>
                </c:pt>
                <c:pt idx="115">
                  <c:v>399</c:v>
                </c:pt>
                <c:pt idx="116">
                  <c:v>403</c:v>
                </c:pt>
                <c:pt idx="117">
                  <c:v>404</c:v>
                </c:pt>
                <c:pt idx="118">
                  <c:v>405</c:v>
                </c:pt>
                <c:pt idx="119">
                  <c:v>407</c:v>
                </c:pt>
                <c:pt idx="120">
                  <c:v>409</c:v>
                </c:pt>
                <c:pt idx="121">
                  <c:v>411</c:v>
                </c:pt>
                <c:pt idx="122">
                  <c:v>414</c:v>
                </c:pt>
                <c:pt idx="123">
                  <c:v>415</c:v>
                </c:pt>
                <c:pt idx="124">
                  <c:v>417</c:v>
                </c:pt>
                <c:pt idx="125">
                  <c:v>423</c:v>
                </c:pt>
                <c:pt idx="126">
                  <c:v>424</c:v>
                </c:pt>
                <c:pt idx="127">
                  <c:v>427</c:v>
                </c:pt>
                <c:pt idx="128">
                  <c:v>428</c:v>
                </c:pt>
                <c:pt idx="129">
                  <c:v>433</c:v>
                </c:pt>
                <c:pt idx="130">
                  <c:v>435</c:v>
                </c:pt>
                <c:pt idx="131">
                  <c:v>442</c:v>
                </c:pt>
                <c:pt idx="132">
                  <c:v>443</c:v>
                </c:pt>
                <c:pt idx="133">
                  <c:v>449</c:v>
                </c:pt>
                <c:pt idx="134">
                  <c:v>457</c:v>
                </c:pt>
                <c:pt idx="135">
                  <c:v>458</c:v>
                </c:pt>
                <c:pt idx="136">
                  <c:v>469</c:v>
                </c:pt>
                <c:pt idx="137">
                  <c:v>474</c:v>
                </c:pt>
                <c:pt idx="138">
                  <c:v>481</c:v>
                </c:pt>
                <c:pt idx="139">
                  <c:v>498</c:v>
                </c:pt>
                <c:pt idx="140">
                  <c:v>501</c:v>
                </c:pt>
                <c:pt idx="141">
                  <c:v>505</c:v>
                </c:pt>
                <c:pt idx="142">
                  <c:v>506</c:v>
                </c:pt>
                <c:pt idx="143">
                  <c:v>509</c:v>
                </c:pt>
                <c:pt idx="144">
                  <c:v>513</c:v>
                </c:pt>
                <c:pt idx="145">
                  <c:v>514</c:v>
                </c:pt>
                <c:pt idx="146">
                  <c:v>519</c:v>
                </c:pt>
                <c:pt idx="147">
                  <c:v>521</c:v>
                </c:pt>
                <c:pt idx="148">
                  <c:v>522</c:v>
                </c:pt>
                <c:pt idx="149">
                  <c:v>524</c:v>
                </c:pt>
                <c:pt idx="150">
                  <c:v>525</c:v>
                </c:pt>
                <c:pt idx="151">
                  <c:v>529</c:v>
                </c:pt>
                <c:pt idx="152">
                  <c:v>531</c:v>
                </c:pt>
                <c:pt idx="153">
                  <c:v>538</c:v>
                </c:pt>
                <c:pt idx="154">
                  <c:v>542</c:v>
                </c:pt>
                <c:pt idx="155">
                  <c:v>544</c:v>
                </c:pt>
                <c:pt idx="156">
                  <c:v>551</c:v>
                </c:pt>
                <c:pt idx="157">
                  <c:v>557</c:v>
                </c:pt>
                <c:pt idx="158">
                  <c:v>560</c:v>
                </c:pt>
                <c:pt idx="159">
                  <c:v>561</c:v>
                </c:pt>
                <c:pt idx="160">
                  <c:v>565</c:v>
                </c:pt>
                <c:pt idx="161">
                  <c:v>568</c:v>
                </c:pt>
                <c:pt idx="162">
                  <c:v>571</c:v>
                </c:pt>
                <c:pt idx="163">
                  <c:v>580</c:v>
                </c:pt>
                <c:pt idx="164">
                  <c:v>582</c:v>
                </c:pt>
                <c:pt idx="165">
                  <c:v>583</c:v>
                </c:pt>
                <c:pt idx="166">
                  <c:v>586</c:v>
                </c:pt>
                <c:pt idx="167">
                  <c:v>587</c:v>
                </c:pt>
                <c:pt idx="168">
                  <c:v>591</c:v>
                </c:pt>
                <c:pt idx="169">
                  <c:v>593</c:v>
                </c:pt>
                <c:pt idx="170">
                  <c:v>595</c:v>
                </c:pt>
                <c:pt idx="171">
                  <c:v>605</c:v>
                </c:pt>
                <c:pt idx="172">
                  <c:v>612</c:v>
                </c:pt>
                <c:pt idx="173">
                  <c:v>623</c:v>
                </c:pt>
                <c:pt idx="174">
                  <c:v>626</c:v>
                </c:pt>
                <c:pt idx="175">
                  <c:v>627</c:v>
                </c:pt>
                <c:pt idx="176">
                  <c:v>628</c:v>
                </c:pt>
                <c:pt idx="177">
                  <c:v>633</c:v>
                </c:pt>
                <c:pt idx="178">
                  <c:v>634</c:v>
                </c:pt>
                <c:pt idx="179">
                  <c:v>635</c:v>
                </c:pt>
                <c:pt idx="180">
                  <c:v>639</c:v>
                </c:pt>
                <c:pt idx="181">
                  <c:v>640</c:v>
                </c:pt>
                <c:pt idx="182">
                  <c:v>644</c:v>
                </c:pt>
                <c:pt idx="183">
                  <c:v>645</c:v>
                </c:pt>
                <c:pt idx="184">
                  <c:v>646</c:v>
                </c:pt>
                <c:pt idx="185">
                  <c:v>647</c:v>
                </c:pt>
                <c:pt idx="186">
                  <c:v>649</c:v>
                </c:pt>
                <c:pt idx="187">
                  <c:v>651</c:v>
                </c:pt>
                <c:pt idx="188">
                  <c:v>657</c:v>
                </c:pt>
                <c:pt idx="189">
                  <c:v>659</c:v>
                </c:pt>
                <c:pt idx="190">
                  <c:v>663</c:v>
                </c:pt>
                <c:pt idx="191">
                  <c:v>672</c:v>
                </c:pt>
                <c:pt idx="192">
                  <c:v>674</c:v>
                </c:pt>
                <c:pt idx="193">
                  <c:v>678</c:v>
                </c:pt>
                <c:pt idx="194">
                  <c:v>682</c:v>
                </c:pt>
                <c:pt idx="195">
                  <c:v>685</c:v>
                </c:pt>
                <c:pt idx="196">
                  <c:v>690</c:v>
                </c:pt>
                <c:pt idx="197">
                  <c:v>696</c:v>
                </c:pt>
                <c:pt idx="198">
                  <c:v>706</c:v>
                </c:pt>
                <c:pt idx="199">
                  <c:v>709</c:v>
                </c:pt>
                <c:pt idx="200">
                  <c:v>714</c:v>
                </c:pt>
                <c:pt idx="201">
                  <c:v>715</c:v>
                </c:pt>
                <c:pt idx="202">
                  <c:v>718</c:v>
                </c:pt>
                <c:pt idx="203">
                  <c:v>719</c:v>
                </c:pt>
                <c:pt idx="204">
                  <c:v>722</c:v>
                </c:pt>
                <c:pt idx="205">
                  <c:v>724</c:v>
                </c:pt>
                <c:pt idx="206">
                  <c:v>727</c:v>
                </c:pt>
                <c:pt idx="207">
                  <c:v>734</c:v>
                </c:pt>
                <c:pt idx="208">
                  <c:v>739</c:v>
                </c:pt>
                <c:pt idx="209">
                  <c:v>742</c:v>
                </c:pt>
                <c:pt idx="210">
                  <c:v>750</c:v>
                </c:pt>
                <c:pt idx="211">
                  <c:v>751</c:v>
                </c:pt>
                <c:pt idx="212">
                  <c:v>757</c:v>
                </c:pt>
                <c:pt idx="213">
                  <c:v>758</c:v>
                </c:pt>
                <c:pt idx="214">
                  <c:v>768</c:v>
                </c:pt>
                <c:pt idx="215">
                  <c:v>769</c:v>
                </c:pt>
                <c:pt idx="216">
                  <c:v>779</c:v>
                </c:pt>
                <c:pt idx="217">
                  <c:v>786</c:v>
                </c:pt>
                <c:pt idx="218">
                  <c:v>792</c:v>
                </c:pt>
                <c:pt idx="219">
                  <c:v>794</c:v>
                </c:pt>
                <c:pt idx="220">
                  <c:v>795</c:v>
                </c:pt>
                <c:pt idx="221">
                  <c:v>796</c:v>
                </c:pt>
                <c:pt idx="222">
                  <c:v>800</c:v>
                </c:pt>
                <c:pt idx="223">
                  <c:v>801</c:v>
                </c:pt>
                <c:pt idx="224">
                  <c:v>803</c:v>
                </c:pt>
                <c:pt idx="225">
                  <c:v>805</c:v>
                </c:pt>
                <c:pt idx="226">
                  <c:v>807</c:v>
                </c:pt>
                <c:pt idx="227">
                  <c:v>813</c:v>
                </c:pt>
                <c:pt idx="228">
                  <c:v>814</c:v>
                </c:pt>
                <c:pt idx="229">
                  <c:v>819</c:v>
                </c:pt>
                <c:pt idx="230">
                  <c:v>828</c:v>
                </c:pt>
                <c:pt idx="231">
                  <c:v>834</c:v>
                </c:pt>
                <c:pt idx="232">
                  <c:v>835</c:v>
                </c:pt>
                <c:pt idx="233">
                  <c:v>839</c:v>
                </c:pt>
                <c:pt idx="234">
                  <c:v>842</c:v>
                </c:pt>
                <c:pt idx="235">
                  <c:v>843</c:v>
                </c:pt>
                <c:pt idx="236">
                  <c:v>845</c:v>
                </c:pt>
                <c:pt idx="237">
                  <c:v>846</c:v>
                </c:pt>
                <c:pt idx="238">
                  <c:v>848</c:v>
                </c:pt>
              </c:numCache>
            </c:numRef>
          </c:xVal>
          <c:yVal>
            <c:numRef>
              <c:f>Charts!$G$289:$G$527</c:f>
              <c:numCache>
                <c:formatCode>[&gt;=1000000]\₦0.00,,"M";\₦0.0,"K"</c:formatCode>
                <c:ptCount val="239"/>
                <c:pt idx="0">
                  <c:v>1066770</c:v>
                </c:pt>
                <c:pt idx="1">
                  <c:v>1699264</c:v>
                </c:pt>
                <c:pt idx="2">
                  <c:v>150612</c:v>
                </c:pt>
                <c:pt idx="3">
                  <c:v>391618</c:v>
                </c:pt>
                <c:pt idx="4">
                  <c:v>841536</c:v>
                </c:pt>
                <c:pt idx="5">
                  <c:v>1637052</c:v>
                </c:pt>
                <c:pt idx="6">
                  <c:v>306135</c:v>
                </c:pt>
                <c:pt idx="7">
                  <c:v>1122649</c:v>
                </c:pt>
                <c:pt idx="8">
                  <c:v>1324060</c:v>
                </c:pt>
                <c:pt idx="9">
                  <c:v>130698</c:v>
                </c:pt>
                <c:pt idx="10">
                  <c:v>523055</c:v>
                </c:pt>
                <c:pt idx="11">
                  <c:v>909728</c:v>
                </c:pt>
                <c:pt idx="12">
                  <c:v>960862</c:v>
                </c:pt>
                <c:pt idx="13">
                  <c:v>333032</c:v>
                </c:pt>
                <c:pt idx="14">
                  <c:v>1005336</c:v>
                </c:pt>
                <c:pt idx="15">
                  <c:v>1104785</c:v>
                </c:pt>
                <c:pt idx="16">
                  <c:v>864802</c:v>
                </c:pt>
                <c:pt idx="17">
                  <c:v>1033311</c:v>
                </c:pt>
                <c:pt idx="18">
                  <c:v>272490</c:v>
                </c:pt>
                <c:pt idx="19">
                  <c:v>1122548</c:v>
                </c:pt>
                <c:pt idx="20">
                  <c:v>1391906</c:v>
                </c:pt>
                <c:pt idx="21">
                  <c:v>172576</c:v>
                </c:pt>
                <c:pt idx="22">
                  <c:v>2369165</c:v>
                </c:pt>
                <c:pt idx="23">
                  <c:v>1205923</c:v>
                </c:pt>
                <c:pt idx="24">
                  <c:v>1702836</c:v>
                </c:pt>
                <c:pt idx="25">
                  <c:v>599019</c:v>
                </c:pt>
                <c:pt idx="26">
                  <c:v>2089615</c:v>
                </c:pt>
                <c:pt idx="27">
                  <c:v>862035</c:v>
                </c:pt>
                <c:pt idx="28">
                  <c:v>671314</c:v>
                </c:pt>
                <c:pt idx="29">
                  <c:v>404439</c:v>
                </c:pt>
                <c:pt idx="30">
                  <c:v>441365</c:v>
                </c:pt>
                <c:pt idx="31">
                  <c:v>1172511</c:v>
                </c:pt>
                <c:pt idx="32">
                  <c:v>234936</c:v>
                </c:pt>
                <c:pt idx="33">
                  <c:v>2662880</c:v>
                </c:pt>
                <c:pt idx="34">
                  <c:v>563073</c:v>
                </c:pt>
                <c:pt idx="35">
                  <c:v>1292320</c:v>
                </c:pt>
                <c:pt idx="36">
                  <c:v>475160</c:v>
                </c:pt>
                <c:pt idx="37">
                  <c:v>666440</c:v>
                </c:pt>
                <c:pt idx="38">
                  <c:v>1113409</c:v>
                </c:pt>
                <c:pt idx="39">
                  <c:v>1076673</c:v>
                </c:pt>
                <c:pt idx="40">
                  <c:v>3076301</c:v>
                </c:pt>
                <c:pt idx="41">
                  <c:v>877602</c:v>
                </c:pt>
                <c:pt idx="42">
                  <c:v>1676496</c:v>
                </c:pt>
                <c:pt idx="43">
                  <c:v>437753</c:v>
                </c:pt>
                <c:pt idx="44">
                  <c:v>156724</c:v>
                </c:pt>
                <c:pt idx="45">
                  <c:v>504980</c:v>
                </c:pt>
                <c:pt idx="46">
                  <c:v>736380</c:v>
                </c:pt>
                <c:pt idx="47">
                  <c:v>887970</c:v>
                </c:pt>
                <c:pt idx="48">
                  <c:v>1561572</c:v>
                </c:pt>
                <c:pt idx="49">
                  <c:v>1334027</c:v>
                </c:pt>
                <c:pt idx="50">
                  <c:v>905454</c:v>
                </c:pt>
                <c:pt idx="51">
                  <c:v>1488355</c:v>
                </c:pt>
                <c:pt idx="52">
                  <c:v>2586011</c:v>
                </c:pt>
                <c:pt idx="53">
                  <c:v>1299953</c:v>
                </c:pt>
                <c:pt idx="54">
                  <c:v>1178917</c:v>
                </c:pt>
                <c:pt idx="55">
                  <c:v>862824</c:v>
                </c:pt>
                <c:pt idx="56">
                  <c:v>772785</c:v>
                </c:pt>
                <c:pt idx="57">
                  <c:v>2847181</c:v>
                </c:pt>
                <c:pt idx="58">
                  <c:v>1013064</c:v>
                </c:pt>
                <c:pt idx="59">
                  <c:v>2365615</c:v>
                </c:pt>
                <c:pt idx="60">
                  <c:v>397034</c:v>
                </c:pt>
                <c:pt idx="61">
                  <c:v>1122812</c:v>
                </c:pt>
                <c:pt idx="62">
                  <c:v>1718899</c:v>
                </c:pt>
                <c:pt idx="63">
                  <c:v>1465399</c:v>
                </c:pt>
                <c:pt idx="64">
                  <c:v>2771644</c:v>
                </c:pt>
                <c:pt idx="65">
                  <c:v>489347</c:v>
                </c:pt>
                <c:pt idx="66">
                  <c:v>1476695</c:v>
                </c:pt>
                <c:pt idx="67">
                  <c:v>560775</c:v>
                </c:pt>
                <c:pt idx="68">
                  <c:v>280762</c:v>
                </c:pt>
                <c:pt idx="69">
                  <c:v>1513065</c:v>
                </c:pt>
                <c:pt idx="70">
                  <c:v>1436379</c:v>
                </c:pt>
                <c:pt idx="71">
                  <c:v>2696413</c:v>
                </c:pt>
                <c:pt idx="72">
                  <c:v>1928704</c:v>
                </c:pt>
                <c:pt idx="73">
                  <c:v>457150</c:v>
                </c:pt>
                <c:pt idx="74">
                  <c:v>1558947</c:v>
                </c:pt>
                <c:pt idx="75">
                  <c:v>271738</c:v>
                </c:pt>
                <c:pt idx="76">
                  <c:v>762864</c:v>
                </c:pt>
                <c:pt idx="77">
                  <c:v>231895</c:v>
                </c:pt>
                <c:pt idx="78">
                  <c:v>1523339</c:v>
                </c:pt>
                <c:pt idx="79">
                  <c:v>1113249</c:v>
                </c:pt>
                <c:pt idx="80">
                  <c:v>1797049</c:v>
                </c:pt>
                <c:pt idx="81">
                  <c:v>863946</c:v>
                </c:pt>
                <c:pt idx="82">
                  <c:v>538313</c:v>
                </c:pt>
                <c:pt idx="83">
                  <c:v>994120</c:v>
                </c:pt>
                <c:pt idx="84">
                  <c:v>1045736</c:v>
                </c:pt>
                <c:pt idx="85">
                  <c:v>867941</c:v>
                </c:pt>
                <c:pt idx="86">
                  <c:v>1863755</c:v>
                </c:pt>
                <c:pt idx="87">
                  <c:v>597402</c:v>
                </c:pt>
                <c:pt idx="88">
                  <c:v>625221</c:v>
                </c:pt>
                <c:pt idx="89">
                  <c:v>1163970</c:v>
                </c:pt>
                <c:pt idx="90">
                  <c:v>1273243</c:v>
                </c:pt>
                <c:pt idx="91">
                  <c:v>1175220</c:v>
                </c:pt>
                <c:pt idx="92">
                  <c:v>608124</c:v>
                </c:pt>
                <c:pt idx="93">
                  <c:v>1629025</c:v>
                </c:pt>
                <c:pt idx="94">
                  <c:v>1401581</c:v>
                </c:pt>
                <c:pt idx="95">
                  <c:v>1438471</c:v>
                </c:pt>
                <c:pt idx="96">
                  <c:v>537384</c:v>
                </c:pt>
                <c:pt idx="97">
                  <c:v>1339194</c:v>
                </c:pt>
                <c:pt idx="98">
                  <c:v>1037100</c:v>
                </c:pt>
                <c:pt idx="99">
                  <c:v>2317217</c:v>
                </c:pt>
                <c:pt idx="100">
                  <c:v>257866</c:v>
                </c:pt>
                <c:pt idx="101">
                  <c:v>336384</c:v>
                </c:pt>
                <c:pt idx="102">
                  <c:v>460842</c:v>
                </c:pt>
                <c:pt idx="103">
                  <c:v>1216116</c:v>
                </c:pt>
                <c:pt idx="104">
                  <c:v>1304912</c:v>
                </c:pt>
                <c:pt idx="105">
                  <c:v>564647</c:v>
                </c:pt>
                <c:pt idx="106">
                  <c:v>274916</c:v>
                </c:pt>
                <c:pt idx="107">
                  <c:v>844452</c:v>
                </c:pt>
                <c:pt idx="108">
                  <c:v>1276517</c:v>
                </c:pt>
                <c:pt idx="109">
                  <c:v>308287</c:v>
                </c:pt>
                <c:pt idx="110">
                  <c:v>3637431</c:v>
                </c:pt>
                <c:pt idx="111">
                  <c:v>642040</c:v>
                </c:pt>
                <c:pt idx="112">
                  <c:v>1339111</c:v>
                </c:pt>
                <c:pt idx="113">
                  <c:v>882254</c:v>
                </c:pt>
                <c:pt idx="114">
                  <c:v>1021364</c:v>
                </c:pt>
                <c:pt idx="115">
                  <c:v>3750518</c:v>
                </c:pt>
                <c:pt idx="116">
                  <c:v>1156734</c:v>
                </c:pt>
                <c:pt idx="117">
                  <c:v>784201</c:v>
                </c:pt>
                <c:pt idx="118">
                  <c:v>771303</c:v>
                </c:pt>
                <c:pt idx="119">
                  <c:v>1450815</c:v>
                </c:pt>
                <c:pt idx="120">
                  <c:v>843608</c:v>
                </c:pt>
                <c:pt idx="121">
                  <c:v>1008609</c:v>
                </c:pt>
                <c:pt idx="122">
                  <c:v>846282</c:v>
                </c:pt>
                <c:pt idx="123">
                  <c:v>1652288</c:v>
                </c:pt>
                <c:pt idx="124">
                  <c:v>958387</c:v>
                </c:pt>
                <c:pt idx="125">
                  <c:v>2051142</c:v>
                </c:pt>
                <c:pt idx="126">
                  <c:v>655296</c:v>
                </c:pt>
                <c:pt idx="127">
                  <c:v>2196978</c:v>
                </c:pt>
                <c:pt idx="128">
                  <c:v>2204954</c:v>
                </c:pt>
                <c:pt idx="129">
                  <c:v>658810</c:v>
                </c:pt>
                <c:pt idx="130">
                  <c:v>740980</c:v>
                </c:pt>
                <c:pt idx="131">
                  <c:v>538424</c:v>
                </c:pt>
                <c:pt idx="132">
                  <c:v>1628725</c:v>
                </c:pt>
                <c:pt idx="133">
                  <c:v>1380269</c:v>
                </c:pt>
                <c:pt idx="134">
                  <c:v>703166</c:v>
                </c:pt>
                <c:pt idx="135">
                  <c:v>1601014</c:v>
                </c:pt>
                <c:pt idx="136">
                  <c:v>694007</c:v>
                </c:pt>
                <c:pt idx="137">
                  <c:v>1634448</c:v>
                </c:pt>
                <c:pt idx="138">
                  <c:v>1224335</c:v>
                </c:pt>
                <c:pt idx="139">
                  <c:v>619437</c:v>
                </c:pt>
                <c:pt idx="140">
                  <c:v>641339</c:v>
                </c:pt>
                <c:pt idx="141">
                  <c:v>544095</c:v>
                </c:pt>
                <c:pt idx="142">
                  <c:v>1442983</c:v>
                </c:pt>
                <c:pt idx="143">
                  <c:v>936189</c:v>
                </c:pt>
                <c:pt idx="144">
                  <c:v>880047</c:v>
                </c:pt>
                <c:pt idx="145">
                  <c:v>892839</c:v>
                </c:pt>
                <c:pt idx="146">
                  <c:v>1026204</c:v>
                </c:pt>
                <c:pt idx="147">
                  <c:v>2262610</c:v>
                </c:pt>
                <c:pt idx="148">
                  <c:v>2128050</c:v>
                </c:pt>
                <c:pt idx="149">
                  <c:v>971872</c:v>
                </c:pt>
                <c:pt idx="150">
                  <c:v>505575</c:v>
                </c:pt>
                <c:pt idx="151">
                  <c:v>371272</c:v>
                </c:pt>
                <c:pt idx="152">
                  <c:v>1941155</c:v>
                </c:pt>
                <c:pt idx="153">
                  <c:v>1456675</c:v>
                </c:pt>
                <c:pt idx="154">
                  <c:v>571032</c:v>
                </c:pt>
                <c:pt idx="155">
                  <c:v>1840074</c:v>
                </c:pt>
                <c:pt idx="156">
                  <c:v>573672</c:v>
                </c:pt>
                <c:pt idx="157">
                  <c:v>1134627</c:v>
                </c:pt>
                <c:pt idx="158">
                  <c:v>1906840</c:v>
                </c:pt>
                <c:pt idx="159">
                  <c:v>608706</c:v>
                </c:pt>
                <c:pt idx="160">
                  <c:v>384873</c:v>
                </c:pt>
                <c:pt idx="161">
                  <c:v>947468</c:v>
                </c:pt>
                <c:pt idx="162">
                  <c:v>1058805</c:v>
                </c:pt>
                <c:pt idx="163">
                  <c:v>1826460</c:v>
                </c:pt>
                <c:pt idx="164">
                  <c:v>1350830</c:v>
                </c:pt>
                <c:pt idx="165">
                  <c:v>972159</c:v>
                </c:pt>
                <c:pt idx="166">
                  <c:v>1311296</c:v>
                </c:pt>
                <c:pt idx="167">
                  <c:v>892419</c:v>
                </c:pt>
                <c:pt idx="168">
                  <c:v>594364</c:v>
                </c:pt>
                <c:pt idx="169">
                  <c:v>1755294</c:v>
                </c:pt>
                <c:pt idx="170">
                  <c:v>1584738</c:v>
                </c:pt>
                <c:pt idx="171">
                  <c:v>603670</c:v>
                </c:pt>
                <c:pt idx="172">
                  <c:v>2107107</c:v>
                </c:pt>
                <c:pt idx="173">
                  <c:v>1309173</c:v>
                </c:pt>
                <c:pt idx="174">
                  <c:v>1607119</c:v>
                </c:pt>
                <c:pt idx="175">
                  <c:v>868026</c:v>
                </c:pt>
                <c:pt idx="176">
                  <c:v>759892</c:v>
                </c:pt>
                <c:pt idx="177">
                  <c:v>769649</c:v>
                </c:pt>
                <c:pt idx="178">
                  <c:v>1639146</c:v>
                </c:pt>
                <c:pt idx="179">
                  <c:v>473687</c:v>
                </c:pt>
                <c:pt idx="180">
                  <c:v>3218046</c:v>
                </c:pt>
                <c:pt idx="181">
                  <c:v>2373067</c:v>
                </c:pt>
                <c:pt idx="182">
                  <c:v>2105948</c:v>
                </c:pt>
                <c:pt idx="183">
                  <c:v>1033180</c:v>
                </c:pt>
                <c:pt idx="184">
                  <c:v>1604770</c:v>
                </c:pt>
                <c:pt idx="185">
                  <c:v>2387178</c:v>
                </c:pt>
                <c:pt idx="186">
                  <c:v>1382850</c:v>
                </c:pt>
                <c:pt idx="187">
                  <c:v>1697631</c:v>
                </c:pt>
                <c:pt idx="188">
                  <c:v>2017935</c:v>
                </c:pt>
                <c:pt idx="189">
                  <c:v>1455830</c:v>
                </c:pt>
                <c:pt idx="190">
                  <c:v>1881645</c:v>
                </c:pt>
                <c:pt idx="191">
                  <c:v>2029335</c:v>
                </c:pt>
                <c:pt idx="192">
                  <c:v>2354960</c:v>
                </c:pt>
                <c:pt idx="193">
                  <c:v>2374684</c:v>
                </c:pt>
                <c:pt idx="194">
                  <c:v>1073490</c:v>
                </c:pt>
                <c:pt idx="195">
                  <c:v>1254474</c:v>
                </c:pt>
                <c:pt idx="196">
                  <c:v>2241942</c:v>
                </c:pt>
                <c:pt idx="197">
                  <c:v>4890590</c:v>
                </c:pt>
                <c:pt idx="198">
                  <c:v>936388</c:v>
                </c:pt>
                <c:pt idx="199">
                  <c:v>634836</c:v>
                </c:pt>
                <c:pt idx="200">
                  <c:v>914982</c:v>
                </c:pt>
                <c:pt idx="201">
                  <c:v>676739</c:v>
                </c:pt>
                <c:pt idx="202">
                  <c:v>841161</c:v>
                </c:pt>
                <c:pt idx="203">
                  <c:v>1494580</c:v>
                </c:pt>
                <c:pt idx="204">
                  <c:v>1950424</c:v>
                </c:pt>
                <c:pt idx="205">
                  <c:v>313404</c:v>
                </c:pt>
                <c:pt idx="206">
                  <c:v>2004094</c:v>
                </c:pt>
                <c:pt idx="207">
                  <c:v>344199</c:v>
                </c:pt>
                <c:pt idx="208">
                  <c:v>606288</c:v>
                </c:pt>
                <c:pt idx="209">
                  <c:v>628510</c:v>
                </c:pt>
                <c:pt idx="210">
                  <c:v>645320</c:v>
                </c:pt>
                <c:pt idx="211">
                  <c:v>2612222</c:v>
                </c:pt>
                <c:pt idx="212">
                  <c:v>1211164</c:v>
                </c:pt>
                <c:pt idx="213">
                  <c:v>1632242</c:v>
                </c:pt>
                <c:pt idx="214">
                  <c:v>952018</c:v>
                </c:pt>
                <c:pt idx="215">
                  <c:v>1041581</c:v>
                </c:pt>
                <c:pt idx="216">
                  <c:v>1055462</c:v>
                </c:pt>
                <c:pt idx="217">
                  <c:v>1185008</c:v>
                </c:pt>
                <c:pt idx="218">
                  <c:v>1569201</c:v>
                </c:pt>
                <c:pt idx="219">
                  <c:v>1333462</c:v>
                </c:pt>
                <c:pt idx="220">
                  <c:v>486640</c:v>
                </c:pt>
                <c:pt idx="221">
                  <c:v>2338878</c:v>
                </c:pt>
                <c:pt idx="222">
                  <c:v>1255865</c:v>
                </c:pt>
                <c:pt idx="223">
                  <c:v>1751286</c:v>
                </c:pt>
                <c:pt idx="224">
                  <c:v>1619242</c:v>
                </c:pt>
                <c:pt idx="225">
                  <c:v>2006521</c:v>
                </c:pt>
                <c:pt idx="226">
                  <c:v>811199</c:v>
                </c:pt>
                <c:pt idx="227">
                  <c:v>3015794</c:v>
                </c:pt>
                <c:pt idx="228">
                  <c:v>2278202</c:v>
                </c:pt>
                <c:pt idx="229">
                  <c:v>1293438</c:v>
                </c:pt>
                <c:pt idx="230">
                  <c:v>2167547</c:v>
                </c:pt>
                <c:pt idx="231">
                  <c:v>1994642</c:v>
                </c:pt>
                <c:pt idx="232">
                  <c:v>1456230</c:v>
                </c:pt>
                <c:pt idx="233">
                  <c:v>1002672</c:v>
                </c:pt>
                <c:pt idx="234">
                  <c:v>1424990</c:v>
                </c:pt>
                <c:pt idx="235">
                  <c:v>2580344</c:v>
                </c:pt>
                <c:pt idx="236">
                  <c:v>831594</c:v>
                </c:pt>
                <c:pt idx="237">
                  <c:v>1078056</c:v>
                </c:pt>
                <c:pt idx="238">
                  <c:v>1247312</c:v>
                </c:pt>
              </c:numCache>
            </c:numRef>
          </c:yVal>
          <c:smooth val="0"/>
          <c:extLst>
            <c:ext xmlns:c16="http://schemas.microsoft.com/office/drawing/2014/chart" uri="{C3380CC4-5D6E-409C-BE32-E72D297353CC}">
              <c16:uniqueId val="{00000000-4226-49BF-A0E2-34D12A5A1840}"/>
            </c:ext>
          </c:extLst>
        </c:ser>
        <c:dLbls>
          <c:showLegendKey val="0"/>
          <c:showVal val="0"/>
          <c:showCatName val="0"/>
          <c:showSerName val="0"/>
          <c:showPercent val="0"/>
          <c:showBubbleSize val="0"/>
        </c:dLbls>
        <c:axId val="652587080"/>
        <c:axId val="652596080"/>
      </c:scatterChart>
      <c:valAx>
        <c:axId val="6525870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596080"/>
        <c:crosses val="autoZero"/>
        <c:crossBetween val="midCat"/>
      </c:valAx>
      <c:valAx>
        <c:axId val="652596080"/>
        <c:scaling>
          <c:orientation val="minMax"/>
        </c:scaling>
        <c:delete val="0"/>
        <c:axPos val="l"/>
        <c:numFmt formatCode="[&gt;=1000000]\₦0.00,,&quot;M&quot;;\₦0.0,&quot;K&quot;"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587080"/>
        <c:crosses val="autoZero"/>
        <c:crossBetween val="midCat"/>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331319301462243E-2"/>
          <c:y val="5.7318181967379922E-2"/>
          <c:w val="0.90586782001813171"/>
          <c:h val="0.88536363606524016"/>
        </c:manualLayout>
      </c:layout>
      <c:barChart>
        <c:barDir val="bar"/>
        <c:grouping val="clustered"/>
        <c:varyColors val="0"/>
        <c:ser>
          <c:idx val="0"/>
          <c:order val="0"/>
          <c:tx>
            <c:strRef>
              <c:f>Charts!$Q$11</c:f>
              <c:strCache>
                <c:ptCount val="1"/>
                <c:pt idx="0">
                  <c:v>Performance Score</c:v>
                </c:pt>
              </c:strCache>
            </c:strRef>
          </c:tx>
          <c:spPr>
            <a:solidFill>
              <a:srgbClr val="113F67"/>
            </a:solidFill>
            <a:ln>
              <a:noFill/>
            </a:ln>
            <a:effectLst/>
          </c:spPr>
          <c:invertIfNegative val="0"/>
          <c:dPt>
            <c:idx val="0"/>
            <c:invertIfNegative val="0"/>
            <c:bubble3D val="0"/>
            <c:spPr>
              <a:solidFill>
                <a:srgbClr val="0B3022"/>
              </a:solidFill>
              <a:ln>
                <a:noFill/>
              </a:ln>
              <a:effectLst/>
            </c:spPr>
            <c:extLst>
              <c:ext xmlns:c16="http://schemas.microsoft.com/office/drawing/2014/chart" uri="{C3380CC4-5D6E-409C-BE32-E72D297353CC}">
                <c16:uniqueId val="{00000008-03F4-40D5-AE26-540A64D430E2}"/>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1-F544-455D-BC9C-B7234FD8FD3A}"/>
              </c:ext>
            </c:extLst>
          </c:dPt>
          <c:dPt>
            <c:idx val="2"/>
            <c:invertIfNegative val="0"/>
            <c:bubble3D val="0"/>
            <c:spPr>
              <a:solidFill>
                <a:schemeClr val="bg2">
                  <a:lumMod val="75000"/>
                </a:schemeClr>
              </a:solidFill>
              <a:ln>
                <a:noFill/>
              </a:ln>
              <a:effectLst/>
            </c:spPr>
            <c:extLst>
              <c:ext xmlns:c16="http://schemas.microsoft.com/office/drawing/2014/chart" uri="{C3380CC4-5D6E-409C-BE32-E72D297353CC}">
                <c16:uniqueId val="{00000003-F544-455D-BC9C-B7234FD8FD3A}"/>
              </c:ext>
            </c:extLst>
          </c:dPt>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5-F544-455D-BC9C-B7234FD8FD3A}"/>
              </c:ext>
            </c:extLst>
          </c:dPt>
          <c:dPt>
            <c:idx val="4"/>
            <c:invertIfNegative val="0"/>
            <c:bubble3D val="0"/>
            <c:spPr>
              <a:solidFill>
                <a:schemeClr val="bg2">
                  <a:lumMod val="75000"/>
                </a:schemeClr>
              </a:solidFill>
              <a:ln>
                <a:noFill/>
              </a:ln>
              <a:effectLst/>
            </c:spPr>
            <c:extLst>
              <c:ext xmlns:c16="http://schemas.microsoft.com/office/drawing/2014/chart" uri="{C3380CC4-5D6E-409C-BE32-E72D297353CC}">
                <c16:uniqueId val="{00000007-F544-455D-BC9C-B7234FD8FD3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Charts!$P$12:$P$16</c:f>
              <c:strCache>
                <c:ptCount val="5"/>
                <c:pt idx="0">
                  <c:v>SunCore Energy</c:v>
                </c:pt>
                <c:pt idx="1">
                  <c:v>GreenVolt Nigeria</c:v>
                </c:pt>
                <c:pt idx="2">
                  <c:v>EcoPower Logistics</c:v>
                </c:pt>
                <c:pt idx="3">
                  <c:v>PowerGrid Solutions</c:v>
                </c:pt>
                <c:pt idx="4">
                  <c:v>SolarTech Supplies</c:v>
                </c:pt>
              </c:strCache>
            </c:strRef>
          </c:cat>
          <c:val>
            <c:numRef>
              <c:f>Charts!$Q$12:$Q$16</c:f>
              <c:numCache>
                <c:formatCode>0.000</c:formatCode>
                <c:ptCount val="5"/>
                <c:pt idx="0">
                  <c:v>94.454456288375951</c:v>
                </c:pt>
                <c:pt idx="1">
                  <c:v>93.747509019117871</c:v>
                </c:pt>
                <c:pt idx="2">
                  <c:v>93.255413292463658</c:v>
                </c:pt>
                <c:pt idx="3">
                  <c:v>92.427826003369788</c:v>
                </c:pt>
                <c:pt idx="4">
                  <c:v>91.924256803233575</c:v>
                </c:pt>
              </c:numCache>
            </c:numRef>
          </c:val>
          <c:extLst>
            <c:ext xmlns:c16="http://schemas.microsoft.com/office/drawing/2014/chart" uri="{C3380CC4-5D6E-409C-BE32-E72D297353CC}">
              <c16:uniqueId val="{00000008-F544-455D-BC9C-B7234FD8FD3A}"/>
            </c:ext>
          </c:extLst>
        </c:ser>
        <c:dLbls>
          <c:dLblPos val="inBase"/>
          <c:showLegendKey val="0"/>
          <c:showVal val="1"/>
          <c:showCatName val="0"/>
          <c:showSerName val="0"/>
          <c:showPercent val="0"/>
          <c:showBubbleSize val="0"/>
        </c:dLbls>
        <c:gapWidth val="155"/>
        <c:axId val="627640792"/>
        <c:axId val="627642232"/>
      </c:barChart>
      <c:catAx>
        <c:axId val="627640792"/>
        <c:scaling>
          <c:orientation val="maxMin"/>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Supplier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27642232"/>
        <c:crosses val="autoZero"/>
        <c:auto val="1"/>
        <c:lblAlgn val="ctr"/>
        <c:lblOffset val="100"/>
        <c:noMultiLvlLbl val="0"/>
      </c:catAx>
      <c:valAx>
        <c:axId val="627642232"/>
        <c:scaling>
          <c:orientation val="minMax"/>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Performance</a:t>
                </a:r>
                <a:r>
                  <a:rPr lang="en-US" baseline="0">
                    <a:solidFill>
                      <a:schemeClr val="tx1"/>
                    </a:solidFill>
                  </a:rPr>
                  <a:t> Score</a:t>
                </a:r>
                <a:endParaRPr lang="en-US">
                  <a:solidFill>
                    <a:schemeClr val="tx1"/>
                  </a:solidFill>
                </a:endParaRPr>
              </a:p>
            </c:rich>
          </c:tx>
          <c:layout>
            <c:manualLayout>
              <c:xMode val="edge"/>
              <c:yMode val="edge"/>
              <c:x val="0.33288145710187944"/>
              <c:y val="0.91188016766286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crossAx val="6276407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[Olimage Mock Logistics Operation.xlsx]Charts!PivotTable16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B3022"/>
          </a:solidFill>
          <a:ln>
            <a:noFill/>
          </a:ln>
          <a:effectLst/>
        </c:spPr>
      </c:pivotFmt>
      <c:pivotFmt>
        <c:idx val="4"/>
        <c:spPr>
          <a:solidFill>
            <a:schemeClr val="bg2">
              <a:lumMod val="75000"/>
            </a:schemeClr>
          </a:solidFill>
          <a:ln>
            <a:noFill/>
          </a:ln>
          <a:effectLst/>
        </c:spPr>
      </c:pivotFmt>
      <c:pivotFmt>
        <c:idx val="5"/>
        <c:spPr>
          <a:solidFill>
            <a:schemeClr val="bg2">
              <a:lumMod val="75000"/>
            </a:schemeClr>
          </a:solidFill>
          <a:ln>
            <a:noFill/>
          </a:ln>
          <a:effectLst/>
        </c:spPr>
      </c:pivotFmt>
      <c:pivotFmt>
        <c:idx val="6"/>
        <c:spPr>
          <a:solidFill>
            <a:schemeClr val="bg2">
              <a:lumMod val="75000"/>
            </a:schemeClr>
          </a:solidFill>
          <a:ln>
            <a:noFill/>
          </a:ln>
          <a:effectLst/>
        </c:spPr>
      </c:pivotFmt>
      <c:pivotFmt>
        <c:idx val="7"/>
        <c:spPr>
          <a:solidFill>
            <a:schemeClr val="bg2">
              <a:lumMod val="75000"/>
            </a:schemeClr>
          </a:solidFill>
          <a:ln>
            <a:noFill/>
          </a:ln>
          <a:effectLst/>
        </c:spPr>
      </c:pivotFmt>
    </c:pivotFmts>
    <c:plotArea>
      <c:layout>
        <c:manualLayout>
          <c:layoutTarget val="inner"/>
          <c:xMode val="edge"/>
          <c:yMode val="edge"/>
          <c:x val="0.10145529817566409"/>
          <c:y val="7.9749037332183581E-2"/>
          <c:w val="0.82967672474351983"/>
          <c:h val="0.86255697126781405"/>
        </c:manualLayout>
      </c:layout>
      <c:barChart>
        <c:barDir val="bar"/>
        <c:grouping val="clustered"/>
        <c:varyColors val="0"/>
        <c:ser>
          <c:idx val="0"/>
          <c:order val="0"/>
          <c:tx>
            <c:strRef>
              <c:f>Charts!$B$3</c:f>
              <c:strCache>
                <c:ptCount val="1"/>
                <c:pt idx="0">
                  <c:v>Total</c:v>
                </c:pt>
              </c:strCache>
            </c:strRef>
          </c:tx>
          <c:spPr>
            <a:solidFill>
              <a:schemeClr val="bg2">
                <a:lumMod val="90000"/>
              </a:schemeClr>
            </a:solidFill>
            <a:ln>
              <a:noFill/>
            </a:ln>
            <a:effectLst/>
          </c:spPr>
          <c:invertIfNegative val="0"/>
          <c:dPt>
            <c:idx val="0"/>
            <c:invertIfNegative val="0"/>
            <c:bubble3D val="0"/>
            <c:spPr>
              <a:solidFill>
                <a:srgbClr val="0B3022"/>
              </a:solidFill>
              <a:ln>
                <a:noFill/>
              </a:ln>
              <a:effectLst/>
            </c:spPr>
            <c:extLst>
              <c:ext xmlns:c16="http://schemas.microsoft.com/office/drawing/2014/chart" uri="{C3380CC4-5D6E-409C-BE32-E72D297353CC}">
                <c16:uniqueId val="{00000000-79C2-459F-B229-2BE31B95C1AE}"/>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1-79C2-459F-B229-2BE31B95C1AE}"/>
              </c:ext>
            </c:extLst>
          </c:dPt>
          <c:dPt>
            <c:idx val="2"/>
            <c:invertIfNegative val="0"/>
            <c:bubble3D val="0"/>
            <c:spPr>
              <a:solidFill>
                <a:schemeClr val="bg2">
                  <a:lumMod val="75000"/>
                </a:schemeClr>
              </a:solidFill>
              <a:ln>
                <a:noFill/>
              </a:ln>
              <a:effectLst/>
            </c:spPr>
            <c:extLst>
              <c:ext xmlns:c16="http://schemas.microsoft.com/office/drawing/2014/chart" uri="{C3380CC4-5D6E-409C-BE32-E72D297353CC}">
                <c16:uniqueId val="{00000002-79C2-459F-B229-2BE31B95C1AE}"/>
              </c:ext>
            </c:extLst>
          </c:dPt>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3-79C2-459F-B229-2BE31B95C1AE}"/>
              </c:ext>
            </c:extLst>
          </c:dPt>
          <c:dPt>
            <c:idx val="4"/>
            <c:invertIfNegative val="0"/>
            <c:bubble3D val="0"/>
            <c:spPr>
              <a:solidFill>
                <a:schemeClr val="bg2">
                  <a:lumMod val="75000"/>
                </a:schemeClr>
              </a:solidFill>
              <a:ln>
                <a:noFill/>
              </a:ln>
              <a:effectLst/>
            </c:spPr>
            <c:extLst>
              <c:ext xmlns:c16="http://schemas.microsoft.com/office/drawing/2014/chart" uri="{C3380CC4-5D6E-409C-BE32-E72D297353CC}">
                <c16:uniqueId val="{00000004-79C2-459F-B229-2BE31B95C1A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Charts!$A$4:$A$9</c:f>
              <c:strCache>
                <c:ptCount val="5"/>
                <c:pt idx="0">
                  <c:v>SunCore Energy</c:v>
                </c:pt>
                <c:pt idx="1">
                  <c:v>GreenVolt Nigeria</c:v>
                </c:pt>
                <c:pt idx="2">
                  <c:v>EcoPower Logistics</c:v>
                </c:pt>
                <c:pt idx="3">
                  <c:v>PowerGrid Solutions</c:v>
                </c:pt>
                <c:pt idx="4">
                  <c:v>SolarTech Supplies</c:v>
                </c:pt>
              </c:strCache>
            </c:strRef>
          </c:cat>
          <c:val>
            <c:numRef>
              <c:f>Charts!$B$4:$B$9</c:f>
              <c:numCache>
                <c:formatCode>0%</c:formatCode>
                <c:ptCount val="5"/>
                <c:pt idx="0">
                  <c:v>0.87692307692307692</c:v>
                </c:pt>
                <c:pt idx="1">
                  <c:v>0.8571428571428571</c:v>
                </c:pt>
                <c:pt idx="2">
                  <c:v>0.84482758620689657</c:v>
                </c:pt>
                <c:pt idx="3">
                  <c:v>0.82456140350877194</c:v>
                </c:pt>
                <c:pt idx="4">
                  <c:v>0.8125</c:v>
                </c:pt>
              </c:numCache>
            </c:numRef>
          </c:val>
          <c:extLst>
            <c:ext xmlns:c16="http://schemas.microsoft.com/office/drawing/2014/chart" uri="{C3380CC4-5D6E-409C-BE32-E72D297353CC}">
              <c16:uniqueId val="{00000000-07D0-4C25-BBC2-A41DCA55A761}"/>
            </c:ext>
          </c:extLst>
        </c:ser>
        <c:dLbls>
          <c:showLegendKey val="0"/>
          <c:showVal val="0"/>
          <c:showCatName val="0"/>
          <c:showSerName val="0"/>
          <c:showPercent val="0"/>
          <c:showBubbleSize val="0"/>
        </c:dLbls>
        <c:gapWidth val="155"/>
        <c:axId val="775939976"/>
        <c:axId val="775941416"/>
      </c:barChart>
      <c:catAx>
        <c:axId val="775939976"/>
        <c:scaling>
          <c:orientation val="maxMin"/>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Supplier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775941416"/>
        <c:crosses val="autoZero"/>
        <c:auto val="1"/>
        <c:lblAlgn val="ctr"/>
        <c:lblOffset val="100"/>
        <c:noMultiLvlLbl val="0"/>
      </c:catAx>
      <c:valAx>
        <c:axId val="775941416"/>
        <c:scaling>
          <c:orientation val="minMax"/>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On time </a:t>
                </a:r>
              </a:p>
            </c:rich>
          </c:tx>
          <c:layout>
            <c:manualLayout>
              <c:xMode val="edge"/>
              <c:yMode val="edge"/>
              <c:x val="0.37610049499166637"/>
              <c:y val="0.917858954090945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775939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[Olimage Mock Logistics Operation.xlsx]Charts!PivotTable18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29A2B"/>
          </a:solidFill>
          <a:ln>
            <a:noFill/>
          </a:ln>
          <a:effectLst/>
        </c:spPr>
      </c:pivotFmt>
      <c:pivotFmt>
        <c:idx val="8"/>
        <c:spPr>
          <a:solidFill>
            <a:schemeClr val="bg2">
              <a:lumMod val="75000"/>
            </a:schemeClr>
          </a:solidFill>
          <a:ln>
            <a:noFill/>
          </a:ln>
          <a:effectLst/>
        </c:spPr>
      </c:pivotFmt>
      <c:pivotFmt>
        <c:idx val="9"/>
        <c:spPr>
          <a:solidFill>
            <a:schemeClr val="bg2">
              <a:lumMod val="75000"/>
            </a:schemeClr>
          </a:solidFill>
          <a:ln>
            <a:noFill/>
          </a:ln>
          <a:effectLst/>
        </c:spPr>
      </c:pivotFmt>
      <c:pivotFmt>
        <c:idx val="10"/>
        <c:spPr>
          <a:solidFill>
            <a:schemeClr val="bg2">
              <a:lumMod val="75000"/>
            </a:schemeClr>
          </a:solidFill>
          <a:ln>
            <a:noFill/>
          </a:ln>
          <a:effectLst/>
        </c:spPr>
      </c:pivotFmt>
      <c:pivotFmt>
        <c:idx val="11"/>
        <c:spPr>
          <a:solidFill>
            <a:schemeClr val="bg2">
              <a:lumMod val="75000"/>
            </a:schemeClr>
          </a:solidFill>
          <a:ln>
            <a:noFill/>
          </a:ln>
          <a:effectLst/>
        </c:spPr>
      </c:pivotFmt>
    </c:pivotFmts>
    <c:plotArea>
      <c:layout>
        <c:manualLayout>
          <c:layoutTarget val="inner"/>
          <c:xMode val="edge"/>
          <c:yMode val="edge"/>
          <c:x val="0.10722526570031654"/>
          <c:y val="5.8084202552129219E-2"/>
          <c:w val="0.89277473429968346"/>
          <c:h val="0.88383159489574159"/>
        </c:manualLayout>
      </c:layout>
      <c:barChart>
        <c:barDir val="bar"/>
        <c:grouping val="clustered"/>
        <c:varyColors val="0"/>
        <c:ser>
          <c:idx val="0"/>
          <c:order val="0"/>
          <c:tx>
            <c:strRef>
              <c:f>Charts!$E$3</c:f>
              <c:strCache>
                <c:ptCount val="1"/>
                <c:pt idx="0">
                  <c:v>Total</c:v>
                </c:pt>
              </c:strCache>
            </c:strRef>
          </c:tx>
          <c:spPr>
            <a:solidFill>
              <a:schemeClr val="accent1"/>
            </a:solidFill>
            <a:ln>
              <a:noFill/>
            </a:ln>
            <a:effectLst/>
          </c:spPr>
          <c:invertIfNegative val="0"/>
          <c:dPt>
            <c:idx val="0"/>
            <c:invertIfNegative val="0"/>
            <c:bubble3D val="0"/>
            <c:spPr>
              <a:solidFill>
                <a:srgbClr val="C29A2B"/>
              </a:solidFill>
              <a:ln>
                <a:noFill/>
              </a:ln>
              <a:effectLst/>
            </c:spPr>
            <c:extLst>
              <c:ext xmlns:c16="http://schemas.microsoft.com/office/drawing/2014/chart" uri="{C3380CC4-5D6E-409C-BE32-E72D297353CC}">
                <c16:uniqueId val="{00000001-4DC9-4527-B4A4-23EF9DCED19F}"/>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2-4DC9-4527-B4A4-23EF9DCED19F}"/>
              </c:ext>
            </c:extLst>
          </c:dPt>
          <c:dPt>
            <c:idx val="2"/>
            <c:invertIfNegative val="0"/>
            <c:bubble3D val="0"/>
            <c:spPr>
              <a:solidFill>
                <a:schemeClr val="bg2">
                  <a:lumMod val="75000"/>
                </a:schemeClr>
              </a:solidFill>
              <a:ln>
                <a:noFill/>
              </a:ln>
              <a:effectLst/>
            </c:spPr>
            <c:extLst>
              <c:ext xmlns:c16="http://schemas.microsoft.com/office/drawing/2014/chart" uri="{C3380CC4-5D6E-409C-BE32-E72D297353CC}">
                <c16:uniqueId val="{00000003-4DC9-4527-B4A4-23EF9DCED19F}"/>
              </c:ext>
            </c:extLst>
          </c:dPt>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4-4DC9-4527-B4A4-23EF9DCED19F}"/>
              </c:ext>
            </c:extLst>
          </c:dPt>
          <c:dPt>
            <c:idx val="4"/>
            <c:invertIfNegative val="0"/>
            <c:bubble3D val="0"/>
            <c:spPr>
              <a:solidFill>
                <a:schemeClr val="bg2">
                  <a:lumMod val="75000"/>
                </a:schemeClr>
              </a:solidFill>
              <a:ln>
                <a:noFill/>
              </a:ln>
              <a:effectLst/>
            </c:spPr>
            <c:extLst>
              <c:ext xmlns:c16="http://schemas.microsoft.com/office/drawing/2014/chart" uri="{C3380CC4-5D6E-409C-BE32-E72D297353CC}">
                <c16:uniqueId val="{00000005-4DC9-4527-B4A4-23EF9DCED19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Charts!$D$4:$D$9</c:f>
              <c:strCache>
                <c:ptCount val="5"/>
                <c:pt idx="0">
                  <c:v>SunCore Energy</c:v>
                </c:pt>
                <c:pt idx="1">
                  <c:v>SolarTech Supplies</c:v>
                </c:pt>
                <c:pt idx="2">
                  <c:v>PowerGrid Solutions</c:v>
                </c:pt>
                <c:pt idx="3">
                  <c:v>GreenVolt Nigeria</c:v>
                </c:pt>
                <c:pt idx="4">
                  <c:v>EcoPower Logistics</c:v>
                </c:pt>
              </c:strCache>
            </c:strRef>
          </c:cat>
          <c:val>
            <c:numRef>
              <c:f>Charts!$E$4:$E$9</c:f>
              <c:numCache>
                <c:formatCode>0.00%</c:formatCode>
                <c:ptCount val="5"/>
                <c:pt idx="0">
                  <c:v>2.0748892951570879E-2</c:v>
                </c:pt>
                <c:pt idx="1">
                  <c:v>1.9191439892213929E-2</c:v>
                </c:pt>
                <c:pt idx="2">
                  <c:v>1.8487671232703073E-2</c:v>
                </c:pt>
                <c:pt idx="3">
                  <c:v>1.7940175553213471E-2</c:v>
                </c:pt>
                <c:pt idx="4">
                  <c:v>1.7923005193739992E-2</c:v>
                </c:pt>
              </c:numCache>
            </c:numRef>
          </c:val>
          <c:extLst>
            <c:ext xmlns:c16="http://schemas.microsoft.com/office/drawing/2014/chart" uri="{C3380CC4-5D6E-409C-BE32-E72D297353CC}">
              <c16:uniqueId val="{00000000-4DC9-4527-B4A4-23EF9DCED19F}"/>
            </c:ext>
          </c:extLst>
        </c:ser>
        <c:dLbls>
          <c:showLegendKey val="0"/>
          <c:showVal val="0"/>
          <c:showCatName val="0"/>
          <c:showSerName val="0"/>
          <c:showPercent val="0"/>
          <c:showBubbleSize val="0"/>
        </c:dLbls>
        <c:gapWidth val="155"/>
        <c:axId val="557894536"/>
        <c:axId val="557895616"/>
      </c:barChart>
      <c:catAx>
        <c:axId val="557894536"/>
        <c:scaling>
          <c:orientation val="maxMin"/>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Supplier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57895616"/>
        <c:crosses val="autoZero"/>
        <c:auto val="1"/>
        <c:lblAlgn val="ctr"/>
        <c:lblOffset val="100"/>
        <c:noMultiLvlLbl val="0"/>
      </c:catAx>
      <c:valAx>
        <c:axId val="557895616"/>
        <c:scaling>
          <c:orientation val="minMax"/>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Average Damage Rate</a:t>
                </a:r>
              </a:p>
            </c:rich>
          </c:tx>
          <c:layout>
            <c:manualLayout>
              <c:xMode val="edge"/>
              <c:yMode val="edge"/>
              <c:x val="0.18524233533574105"/>
              <c:y val="0.9123420081102572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557894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scatterChart>
        <c:scatterStyle val="lineMarker"/>
        <c:varyColors val="0"/>
        <c:ser>
          <c:idx val="0"/>
          <c:order val="0"/>
          <c:spPr>
            <a:ln w="38100" cap="rnd">
              <a:noFill/>
              <a:round/>
            </a:ln>
            <a:effectLst/>
          </c:spPr>
          <c:marker>
            <c:symbol val="circle"/>
            <c:size val="5"/>
            <c:spPr>
              <a:solidFill>
                <a:schemeClr val="accent3"/>
              </a:solidFill>
              <a:ln w="9525">
                <a:solidFill>
                  <a:schemeClr val="accent3"/>
                </a:solidFill>
              </a:ln>
              <a:effectLst/>
            </c:spPr>
          </c:marker>
          <c:xVal>
            <c:numRef>
              <c:f>Charts!$F$289:$F$527</c:f>
              <c:numCache>
                <c:formatCode>General</c:formatCode>
                <c:ptCount val="239"/>
                <c:pt idx="0">
                  <c:v>25</c:v>
                </c:pt>
                <c:pt idx="1">
                  <c:v>26</c:v>
                </c:pt>
                <c:pt idx="2">
                  <c:v>28</c:v>
                </c:pt>
                <c:pt idx="3">
                  <c:v>31</c:v>
                </c:pt>
                <c:pt idx="4">
                  <c:v>32</c:v>
                </c:pt>
                <c:pt idx="5">
                  <c:v>35</c:v>
                </c:pt>
                <c:pt idx="6">
                  <c:v>36</c:v>
                </c:pt>
                <c:pt idx="7">
                  <c:v>37</c:v>
                </c:pt>
                <c:pt idx="8">
                  <c:v>38</c:v>
                </c:pt>
                <c:pt idx="9">
                  <c:v>42</c:v>
                </c:pt>
                <c:pt idx="10">
                  <c:v>45</c:v>
                </c:pt>
                <c:pt idx="11">
                  <c:v>46</c:v>
                </c:pt>
                <c:pt idx="12">
                  <c:v>49</c:v>
                </c:pt>
                <c:pt idx="13">
                  <c:v>50</c:v>
                </c:pt>
                <c:pt idx="14">
                  <c:v>54</c:v>
                </c:pt>
                <c:pt idx="15">
                  <c:v>59</c:v>
                </c:pt>
                <c:pt idx="16">
                  <c:v>60</c:v>
                </c:pt>
                <c:pt idx="17">
                  <c:v>67</c:v>
                </c:pt>
                <c:pt idx="18">
                  <c:v>72</c:v>
                </c:pt>
                <c:pt idx="19">
                  <c:v>77</c:v>
                </c:pt>
                <c:pt idx="20">
                  <c:v>78</c:v>
                </c:pt>
                <c:pt idx="21">
                  <c:v>79</c:v>
                </c:pt>
                <c:pt idx="22">
                  <c:v>83</c:v>
                </c:pt>
                <c:pt idx="23">
                  <c:v>90</c:v>
                </c:pt>
                <c:pt idx="24">
                  <c:v>91</c:v>
                </c:pt>
                <c:pt idx="25">
                  <c:v>97</c:v>
                </c:pt>
                <c:pt idx="26">
                  <c:v>98</c:v>
                </c:pt>
                <c:pt idx="27">
                  <c:v>99</c:v>
                </c:pt>
                <c:pt idx="28">
                  <c:v>100</c:v>
                </c:pt>
                <c:pt idx="29">
                  <c:v>103</c:v>
                </c:pt>
                <c:pt idx="30">
                  <c:v>115</c:v>
                </c:pt>
                <c:pt idx="31">
                  <c:v>117</c:v>
                </c:pt>
                <c:pt idx="32">
                  <c:v>123</c:v>
                </c:pt>
                <c:pt idx="33">
                  <c:v>128</c:v>
                </c:pt>
                <c:pt idx="34">
                  <c:v>129</c:v>
                </c:pt>
                <c:pt idx="35">
                  <c:v>132</c:v>
                </c:pt>
                <c:pt idx="36">
                  <c:v>133</c:v>
                </c:pt>
                <c:pt idx="37">
                  <c:v>135</c:v>
                </c:pt>
                <c:pt idx="38">
                  <c:v>137</c:v>
                </c:pt>
                <c:pt idx="39">
                  <c:v>140</c:v>
                </c:pt>
                <c:pt idx="40">
                  <c:v>142</c:v>
                </c:pt>
                <c:pt idx="41">
                  <c:v>144</c:v>
                </c:pt>
                <c:pt idx="42">
                  <c:v>148</c:v>
                </c:pt>
                <c:pt idx="43">
                  <c:v>149</c:v>
                </c:pt>
                <c:pt idx="44">
                  <c:v>150</c:v>
                </c:pt>
                <c:pt idx="45">
                  <c:v>152</c:v>
                </c:pt>
                <c:pt idx="46">
                  <c:v>153</c:v>
                </c:pt>
                <c:pt idx="47">
                  <c:v>159</c:v>
                </c:pt>
                <c:pt idx="48">
                  <c:v>162</c:v>
                </c:pt>
                <c:pt idx="49">
                  <c:v>163</c:v>
                </c:pt>
                <c:pt idx="50">
                  <c:v>168</c:v>
                </c:pt>
                <c:pt idx="51">
                  <c:v>169</c:v>
                </c:pt>
                <c:pt idx="52">
                  <c:v>170</c:v>
                </c:pt>
                <c:pt idx="53">
                  <c:v>171</c:v>
                </c:pt>
                <c:pt idx="54">
                  <c:v>172</c:v>
                </c:pt>
                <c:pt idx="55">
                  <c:v>177</c:v>
                </c:pt>
                <c:pt idx="56">
                  <c:v>183</c:v>
                </c:pt>
                <c:pt idx="57">
                  <c:v>185</c:v>
                </c:pt>
                <c:pt idx="58">
                  <c:v>192</c:v>
                </c:pt>
                <c:pt idx="59">
                  <c:v>199</c:v>
                </c:pt>
                <c:pt idx="60">
                  <c:v>202</c:v>
                </c:pt>
                <c:pt idx="61">
                  <c:v>207</c:v>
                </c:pt>
                <c:pt idx="62">
                  <c:v>210</c:v>
                </c:pt>
                <c:pt idx="63">
                  <c:v>217</c:v>
                </c:pt>
                <c:pt idx="64">
                  <c:v>220</c:v>
                </c:pt>
                <c:pt idx="65">
                  <c:v>222</c:v>
                </c:pt>
                <c:pt idx="66">
                  <c:v>231</c:v>
                </c:pt>
                <c:pt idx="67">
                  <c:v>232</c:v>
                </c:pt>
                <c:pt idx="68">
                  <c:v>234</c:v>
                </c:pt>
                <c:pt idx="69">
                  <c:v>235</c:v>
                </c:pt>
                <c:pt idx="70">
                  <c:v>240</c:v>
                </c:pt>
                <c:pt idx="71">
                  <c:v>241</c:v>
                </c:pt>
                <c:pt idx="72">
                  <c:v>242</c:v>
                </c:pt>
                <c:pt idx="73">
                  <c:v>246</c:v>
                </c:pt>
                <c:pt idx="74">
                  <c:v>247</c:v>
                </c:pt>
                <c:pt idx="75">
                  <c:v>257</c:v>
                </c:pt>
                <c:pt idx="76">
                  <c:v>258</c:v>
                </c:pt>
                <c:pt idx="77">
                  <c:v>260</c:v>
                </c:pt>
                <c:pt idx="78">
                  <c:v>262</c:v>
                </c:pt>
                <c:pt idx="79">
                  <c:v>267</c:v>
                </c:pt>
                <c:pt idx="80">
                  <c:v>269</c:v>
                </c:pt>
                <c:pt idx="81">
                  <c:v>277</c:v>
                </c:pt>
                <c:pt idx="82">
                  <c:v>278</c:v>
                </c:pt>
                <c:pt idx="83">
                  <c:v>280</c:v>
                </c:pt>
                <c:pt idx="84">
                  <c:v>283</c:v>
                </c:pt>
                <c:pt idx="85">
                  <c:v>285</c:v>
                </c:pt>
                <c:pt idx="86">
                  <c:v>287</c:v>
                </c:pt>
                <c:pt idx="87">
                  <c:v>294</c:v>
                </c:pt>
                <c:pt idx="88">
                  <c:v>302</c:v>
                </c:pt>
                <c:pt idx="89">
                  <c:v>303</c:v>
                </c:pt>
                <c:pt idx="90">
                  <c:v>317</c:v>
                </c:pt>
                <c:pt idx="91">
                  <c:v>318</c:v>
                </c:pt>
                <c:pt idx="92">
                  <c:v>319</c:v>
                </c:pt>
                <c:pt idx="93">
                  <c:v>326</c:v>
                </c:pt>
                <c:pt idx="94">
                  <c:v>329</c:v>
                </c:pt>
                <c:pt idx="95">
                  <c:v>330</c:v>
                </c:pt>
                <c:pt idx="96">
                  <c:v>338</c:v>
                </c:pt>
                <c:pt idx="97">
                  <c:v>346</c:v>
                </c:pt>
                <c:pt idx="98">
                  <c:v>348</c:v>
                </c:pt>
                <c:pt idx="99">
                  <c:v>349</c:v>
                </c:pt>
                <c:pt idx="100">
                  <c:v>354</c:v>
                </c:pt>
                <c:pt idx="101">
                  <c:v>356</c:v>
                </c:pt>
                <c:pt idx="102">
                  <c:v>359</c:v>
                </c:pt>
                <c:pt idx="103">
                  <c:v>364</c:v>
                </c:pt>
                <c:pt idx="104">
                  <c:v>366</c:v>
                </c:pt>
                <c:pt idx="105">
                  <c:v>373</c:v>
                </c:pt>
                <c:pt idx="106">
                  <c:v>374</c:v>
                </c:pt>
                <c:pt idx="107">
                  <c:v>378</c:v>
                </c:pt>
                <c:pt idx="108">
                  <c:v>381</c:v>
                </c:pt>
                <c:pt idx="109">
                  <c:v>383</c:v>
                </c:pt>
                <c:pt idx="110">
                  <c:v>385</c:v>
                </c:pt>
                <c:pt idx="111">
                  <c:v>388</c:v>
                </c:pt>
                <c:pt idx="112">
                  <c:v>391</c:v>
                </c:pt>
                <c:pt idx="113">
                  <c:v>393</c:v>
                </c:pt>
                <c:pt idx="114">
                  <c:v>394</c:v>
                </c:pt>
                <c:pt idx="115">
                  <c:v>399</c:v>
                </c:pt>
                <c:pt idx="116">
                  <c:v>403</c:v>
                </c:pt>
                <c:pt idx="117">
                  <c:v>404</c:v>
                </c:pt>
                <c:pt idx="118">
                  <c:v>405</c:v>
                </c:pt>
                <c:pt idx="119">
                  <c:v>407</c:v>
                </c:pt>
                <c:pt idx="120">
                  <c:v>409</c:v>
                </c:pt>
                <c:pt idx="121">
                  <c:v>411</c:v>
                </c:pt>
                <c:pt idx="122">
                  <c:v>414</c:v>
                </c:pt>
                <c:pt idx="123">
                  <c:v>415</c:v>
                </c:pt>
                <c:pt idx="124">
                  <c:v>417</c:v>
                </c:pt>
                <c:pt idx="125">
                  <c:v>423</c:v>
                </c:pt>
                <c:pt idx="126">
                  <c:v>424</c:v>
                </c:pt>
                <c:pt idx="127">
                  <c:v>427</c:v>
                </c:pt>
                <c:pt idx="128">
                  <c:v>428</c:v>
                </c:pt>
                <c:pt idx="129">
                  <c:v>433</c:v>
                </c:pt>
                <c:pt idx="130">
                  <c:v>435</c:v>
                </c:pt>
                <c:pt idx="131">
                  <c:v>442</c:v>
                </c:pt>
                <c:pt idx="132">
                  <c:v>443</c:v>
                </c:pt>
                <c:pt idx="133">
                  <c:v>449</c:v>
                </c:pt>
                <c:pt idx="134">
                  <c:v>457</c:v>
                </c:pt>
                <c:pt idx="135">
                  <c:v>458</c:v>
                </c:pt>
                <c:pt idx="136">
                  <c:v>469</c:v>
                </c:pt>
                <c:pt idx="137">
                  <c:v>474</c:v>
                </c:pt>
                <c:pt idx="138">
                  <c:v>481</c:v>
                </c:pt>
                <c:pt idx="139">
                  <c:v>498</c:v>
                </c:pt>
                <c:pt idx="140">
                  <c:v>501</c:v>
                </c:pt>
                <c:pt idx="141">
                  <c:v>505</c:v>
                </c:pt>
                <c:pt idx="142">
                  <c:v>506</c:v>
                </c:pt>
                <c:pt idx="143">
                  <c:v>509</c:v>
                </c:pt>
                <c:pt idx="144">
                  <c:v>513</c:v>
                </c:pt>
                <c:pt idx="145">
                  <c:v>514</c:v>
                </c:pt>
                <c:pt idx="146">
                  <c:v>519</c:v>
                </c:pt>
                <c:pt idx="147">
                  <c:v>521</c:v>
                </c:pt>
                <c:pt idx="148">
                  <c:v>522</c:v>
                </c:pt>
                <c:pt idx="149">
                  <c:v>524</c:v>
                </c:pt>
                <c:pt idx="150">
                  <c:v>525</c:v>
                </c:pt>
                <c:pt idx="151">
                  <c:v>529</c:v>
                </c:pt>
                <c:pt idx="152">
                  <c:v>531</c:v>
                </c:pt>
                <c:pt idx="153">
                  <c:v>538</c:v>
                </c:pt>
                <c:pt idx="154">
                  <c:v>542</c:v>
                </c:pt>
                <c:pt idx="155">
                  <c:v>544</c:v>
                </c:pt>
                <c:pt idx="156">
                  <c:v>551</c:v>
                </c:pt>
                <c:pt idx="157">
                  <c:v>557</c:v>
                </c:pt>
                <c:pt idx="158">
                  <c:v>560</c:v>
                </c:pt>
                <c:pt idx="159">
                  <c:v>561</c:v>
                </c:pt>
                <c:pt idx="160">
                  <c:v>565</c:v>
                </c:pt>
                <c:pt idx="161">
                  <c:v>568</c:v>
                </c:pt>
                <c:pt idx="162">
                  <c:v>571</c:v>
                </c:pt>
                <c:pt idx="163">
                  <c:v>580</c:v>
                </c:pt>
                <c:pt idx="164">
                  <c:v>582</c:v>
                </c:pt>
                <c:pt idx="165">
                  <c:v>583</c:v>
                </c:pt>
                <c:pt idx="166">
                  <c:v>586</c:v>
                </c:pt>
                <c:pt idx="167">
                  <c:v>587</c:v>
                </c:pt>
                <c:pt idx="168">
                  <c:v>591</c:v>
                </c:pt>
                <c:pt idx="169">
                  <c:v>593</c:v>
                </c:pt>
                <c:pt idx="170">
                  <c:v>595</c:v>
                </c:pt>
                <c:pt idx="171">
                  <c:v>605</c:v>
                </c:pt>
                <c:pt idx="172">
                  <c:v>612</c:v>
                </c:pt>
                <c:pt idx="173">
                  <c:v>623</c:v>
                </c:pt>
                <c:pt idx="174">
                  <c:v>626</c:v>
                </c:pt>
                <c:pt idx="175">
                  <c:v>627</c:v>
                </c:pt>
                <c:pt idx="176">
                  <c:v>628</c:v>
                </c:pt>
                <c:pt idx="177">
                  <c:v>633</c:v>
                </c:pt>
                <c:pt idx="178">
                  <c:v>634</c:v>
                </c:pt>
                <c:pt idx="179">
                  <c:v>635</c:v>
                </c:pt>
                <c:pt idx="180">
                  <c:v>639</c:v>
                </c:pt>
                <c:pt idx="181">
                  <c:v>640</c:v>
                </c:pt>
                <c:pt idx="182">
                  <c:v>644</c:v>
                </c:pt>
                <c:pt idx="183">
                  <c:v>645</c:v>
                </c:pt>
                <c:pt idx="184">
                  <c:v>646</c:v>
                </c:pt>
                <c:pt idx="185">
                  <c:v>647</c:v>
                </c:pt>
                <c:pt idx="186">
                  <c:v>649</c:v>
                </c:pt>
                <c:pt idx="187">
                  <c:v>651</c:v>
                </c:pt>
                <c:pt idx="188">
                  <c:v>657</c:v>
                </c:pt>
                <c:pt idx="189">
                  <c:v>659</c:v>
                </c:pt>
                <c:pt idx="190">
                  <c:v>663</c:v>
                </c:pt>
                <c:pt idx="191">
                  <c:v>672</c:v>
                </c:pt>
                <c:pt idx="192">
                  <c:v>674</c:v>
                </c:pt>
                <c:pt idx="193">
                  <c:v>678</c:v>
                </c:pt>
                <c:pt idx="194">
                  <c:v>682</c:v>
                </c:pt>
                <c:pt idx="195">
                  <c:v>685</c:v>
                </c:pt>
                <c:pt idx="196">
                  <c:v>690</c:v>
                </c:pt>
                <c:pt idx="197">
                  <c:v>696</c:v>
                </c:pt>
                <c:pt idx="198">
                  <c:v>706</c:v>
                </c:pt>
                <c:pt idx="199">
                  <c:v>709</c:v>
                </c:pt>
                <c:pt idx="200">
                  <c:v>714</c:v>
                </c:pt>
                <c:pt idx="201">
                  <c:v>715</c:v>
                </c:pt>
                <c:pt idx="202">
                  <c:v>718</c:v>
                </c:pt>
                <c:pt idx="203">
                  <c:v>719</c:v>
                </c:pt>
                <c:pt idx="204">
                  <c:v>722</c:v>
                </c:pt>
                <c:pt idx="205">
                  <c:v>724</c:v>
                </c:pt>
                <c:pt idx="206">
                  <c:v>727</c:v>
                </c:pt>
                <c:pt idx="207">
                  <c:v>734</c:v>
                </c:pt>
                <c:pt idx="208">
                  <c:v>739</c:v>
                </c:pt>
                <c:pt idx="209">
                  <c:v>742</c:v>
                </c:pt>
                <c:pt idx="210">
                  <c:v>750</c:v>
                </c:pt>
                <c:pt idx="211">
                  <c:v>751</c:v>
                </c:pt>
                <c:pt idx="212">
                  <c:v>757</c:v>
                </c:pt>
                <c:pt idx="213">
                  <c:v>758</c:v>
                </c:pt>
                <c:pt idx="214">
                  <c:v>768</c:v>
                </c:pt>
                <c:pt idx="215">
                  <c:v>769</c:v>
                </c:pt>
                <c:pt idx="216">
                  <c:v>779</c:v>
                </c:pt>
                <c:pt idx="217">
                  <c:v>786</c:v>
                </c:pt>
                <c:pt idx="218">
                  <c:v>792</c:v>
                </c:pt>
                <c:pt idx="219">
                  <c:v>794</c:v>
                </c:pt>
                <c:pt idx="220">
                  <c:v>795</c:v>
                </c:pt>
                <c:pt idx="221">
                  <c:v>796</c:v>
                </c:pt>
                <c:pt idx="222">
                  <c:v>800</c:v>
                </c:pt>
                <c:pt idx="223">
                  <c:v>801</c:v>
                </c:pt>
                <c:pt idx="224">
                  <c:v>803</c:v>
                </c:pt>
                <c:pt idx="225">
                  <c:v>805</c:v>
                </c:pt>
                <c:pt idx="226">
                  <c:v>807</c:v>
                </c:pt>
                <c:pt idx="227">
                  <c:v>813</c:v>
                </c:pt>
                <c:pt idx="228">
                  <c:v>814</c:v>
                </c:pt>
                <c:pt idx="229">
                  <c:v>819</c:v>
                </c:pt>
                <c:pt idx="230">
                  <c:v>828</c:v>
                </c:pt>
                <c:pt idx="231">
                  <c:v>834</c:v>
                </c:pt>
                <c:pt idx="232">
                  <c:v>835</c:v>
                </c:pt>
                <c:pt idx="233">
                  <c:v>839</c:v>
                </c:pt>
                <c:pt idx="234">
                  <c:v>842</c:v>
                </c:pt>
                <c:pt idx="235">
                  <c:v>843</c:v>
                </c:pt>
                <c:pt idx="236">
                  <c:v>845</c:v>
                </c:pt>
                <c:pt idx="237">
                  <c:v>846</c:v>
                </c:pt>
                <c:pt idx="238">
                  <c:v>848</c:v>
                </c:pt>
              </c:numCache>
            </c:numRef>
          </c:xVal>
          <c:yVal>
            <c:numRef>
              <c:f>Charts!$G$289:$G$527</c:f>
              <c:numCache>
                <c:formatCode>[&gt;=1000000]\₦0.00,,"M";\₦0.0,"K"</c:formatCode>
                <c:ptCount val="239"/>
                <c:pt idx="0">
                  <c:v>1066770</c:v>
                </c:pt>
                <c:pt idx="1">
                  <c:v>1699264</c:v>
                </c:pt>
                <c:pt idx="2">
                  <c:v>150612</c:v>
                </c:pt>
                <c:pt idx="3">
                  <c:v>391618</c:v>
                </c:pt>
                <c:pt idx="4">
                  <c:v>841536</c:v>
                </c:pt>
                <c:pt idx="5">
                  <c:v>1637052</c:v>
                </c:pt>
                <c:pt idx="6">
                  <c:v>306135</c:v>
                </c:pt>
                <c:pt idx="7">
                  <c:v>1122649</c:v>
                </c:pt>
                <c:pt idx="8">
                  <c:v>1324060</c:v>
                </c:pt>
                <c:pt idx="9">
                  <c:v>130698</c:v>
                </c:pt>
                <c:pt idx="10">
                  <c:v>523055</c:v>
                </c:pt>
                <c:pt idx="11">
                  <c:v>909728</c:v>
                </c:pt>
                <c:pt idx="12">
                  <c:v>960862</c:v>
                </c:pt>
                <c:pt idx="13">
                  <c:v>333032</c:v>
                </c:pt>
                <c:pt idx="14">
                  <c:v>1005336</c:v>
                </c:pt>
                <c:pt idx="15">
                  <c:v>1104785</c:v>
                </c:pt>
                <c:pt idx="16">
                  <c:v>864802</c:v>
                </c:pt>
                <c:pt idx="17">
                  <c:v>1033311</c:v>
                </c:pt>
                <c:pt idx="18">
                  <c:v>272490</c:v>
                </c:pt>
                <c:pt idx="19">
                  <c:v>1122548</c:v>
                </c:pt>
                <c:pt idx="20">
                  <c:v>1391906</c:v>
                </c:pt>
                <c:pt idx="21">
                  <c:v>172576</c:v>
                </c:pt>
                <c:pt idx="22">
                  <c:v>2369165</c:v>
                </c:pt>
                <c:pt idx="23">
                  <c:v>1205923</c:v>
                </c:pt>
                <c:pt idx="24">
                  <c:v>1702836</c:v>
                </c:pt>
                <c:pt idx="25">
                  <c:v>599019</c:v>
                </c:pt>
                <c:pt idx="26">
                  <c:v>2089615</c:v>
                </c:pt>
                <c:pt idx="27">
                  <c:v>862035</c:v>
                </c:pt>
                <c:pt idx="28">
                  <c:v>671314</c:v>
                </c:pt>
                <c:pt idx="29">
                  <c:v>404439</c:v>
                </c:pt>
                <c:pt idx="30">
                  <c:v>441365</c:v>
                </c:pt>
                <c:pt idx="31">
                  <c:v>1172511</c:v>
                </c:pt>
                <c:pt idx="32">
                  <c:v>234936</c:v>
                </c:pt>
                <c:pt idx="33">
                  <c:v>2662880</c:v>
                </c:pt>
                <c:pt idx="34">
                  <c:v>563073</c:v>
                </c:pt>
                <c:pt idx="35">
                  <c:v>1292320</c:v>
                </c:pt>
                <c:pt idx="36">
                  <c:v>475160</c:v>
                </c:pt>
                <c:pt idx="37">
                  <c:v>666440</c:v>
                </c:pt>
                <c:pt idx="38">
                  <c:v>1113409</c:v>
                </c:pt>
                <c:pt idx="39">
                  <c:v>1076673</c:v>
                </c:pt>
                <c:pt idx="40">
                  <c:v>3076301</c:v>
                </c:pt>
                <c:pt idx="41">
                  <c:v>877602</c:v>
                </c:pt>
                <c:pt idx="42">
                  <c:v>1676496</c:v>
                </c:pt>
                <c:pt idx="43">
                  <c:v>437753</c:v>
                </c:pt>
                <c:pt idx="44">
                  <c:v>156724</c:v>
                </c:pt>
                <c:pt idx="45">
                  <c:v>504980</c:v>
                </c:pt>
                <c:pt idx="46">
                  <c:v>736380</c:v>
                </c:pt>
                <c:pt idx="47">
                  <c:v>887970</c:v>
                </c:pt>
                <c:pt idx="48">
                  <c:v>1561572</c:v>
                </c:pt>
                <c:pt idx="49">
                  <c:v>1334027</c:v>
                </c:pt>
                <c:pt idx="50">
                  <c:v>905454</c:v>
                </c:pt>
                <c:pt idx="51">
                  <c:v>1488355</c:v>
                </c:pt>
                <c:pt idx="52">
                  <c:v>2586011</c:v>
                </c:pt>
                <c:pt idx="53">
                  <c:v>1299953</c:v>
                </c:pt>
                <c:pt idx="54">
                  <c:v>1178917</c:v>
                </c:pt>
                <c:pt idx="55">
                  <c:v>862824</c:v>
                </c:pt>
                <c:pt idx="56">
                  <c:v>772785</c:v>
                </c:pt>
                <c:pt idx="57">
                  <c:v>2847181</c:v>
                </c:pt>
                <c:pt idx="58">
                  <c:v>1013064</c:v>
                </c:pt>
                <c:pt idx="59">
                  <c:v>2365615</c:v>
                </c:pt>
                <c:pt idx="60">
                  <c:v>397034</c:v>
                </c:pt>
                <c:pt idx="61">
                  <c:v>1122812</c:v>
                </c:pt>
                <c:pt idx="62">
                  <c:v>1718899</c:v>
                </c:pt>
                <c:pt idx="63">
                  <c:v>1465399</c:v>
                </c:pt>
                <c:pt idx="64">
                  <c:v>2771644</c:v>
                </c:pt>
                <c:pt idx="65">
                  <c:v>489347</c:v>
                </c:pt>
                <c:pt idx="66">
                  <c:v>1476695</c:v>
                </c:pt>
                <c:pt idx="67">
                  <c:v>560775</c:v>
                </c:pt>
                <c:pt idx="68">
                  <c:v>280762</c:v>
                </c:pt>
                <c:pt idx="69">
                  <c:v>1513065</c:v>
                </c:pt>
                <c:pt idx="70">
                  <c:v>1436379</c:v>
                </c:pt>
                <c:pt idx="71">
                  <c:v>2696413</c:v>
                </c:pt>
                <c:pt idx="72">
                  <c:v>1928704</c:v>
                </c:pt>
                <c:pt idx="73">
                  <c:v>457150</c:v>
                </c:pt>
                <c:pt idx="74">
                  <c:v>1558947</c:v>
                </c:pt>
                <c:pt idx="75">
                  <c:v>271738</c:v>
                </c:pt>
                <c:pt idx="76">
                  <c:v>762864</c:v>
                </c:pt>
                <c:pt idx="77">
                  <c:v>231895</c:v>
                </c:pt>
                <c:pt idx="78">
                  <c:v>1523339</c:v>
                </c:pt>
                <c:pt idx="79">
                  <c:v>1113249</c:v>
                </c:pt>
                <c:pt idx="80">
                  <c:v>1797049</c:v>
                </c:pt>
                <c:pt idx="81">
                  <c:v>863946</c:v>
                </c:pt>
                <c:pt idx="82">
                  <c:v>538313</c:v>
                </c:pt>
                <c:pt idx="83">
                  <c:v>994120</c:v>
                </c:pt>
                <c:pt idx="84">
                  <c:v>1045736</c:v>
                </c:pt>
                <c:pt idx="85">
                  <c:v>867941</c:v>
                </c:pt>
                <c:pt idx="86">
                  <c:v>1863755</c:v>
                </c:pt>
                <c:pt idx="87">
                  <c:v>597402</c:v>
                </c:pt>
                <c:pt idx="88">
                  <c:v>625221</c:v>
                </c:pt>
                <c:pt idx="89">
                  <c:v>1163970</c:v>
                </c:pt>
                <c:pt idx="90">
                  <c:v>1273243</c:v>
                </c:pt>
                <c:pt idx="91">
                  <c:v>1175220</c:v>
                </c:pt>
                <c:pt idx="92">
                  <c:v>608124</c:v>
                </c:pt>
                <c:pt idx="93">
                  <c:v>1629025</c:v>
                </c:pt>
                <c:pt idx="94">
                  <c:v>1401581</c:v>
                </c:pt>
                <c:pt idx="95">
                  <c:v>1438471</c:v>
                </c:pt>
                <c:pt idx="96">
                  <c:v>537384</c:v>
                </c:pt>
                <c:pt idx="97">
                  <c:v>1339194</c:v>
                </c:pt>
                <c:pt idx="98">
                  <c:v>1037100</c:v>
                </c:pt>
                <c:pt idx="99">
                  <c:v>2317217</c:v>
                </c:pt>
                <c:pt idx="100">
                  <c:v>257866</c:v>
                </c:pt>
                <c:pt idx="101">
                  <c:v>336384</c:v>
                </c:pt>
                <c:pt idx="102">
                  <c:v>460842</c:v>
                </c:pt>
                <c:pt idx="103">
                  <c:v>1216116</c:v>
                </c:pt>
                <c:pt idx="104">
                  <c:v>1304912</c:v>
                </c:pt>
                <c:pt idx="105">
                  <c:v>564647</c:v>
                </c:pt>
                <c:pt idx="106">
                  <c:v>274916</c:v>
                </c:pt>
                <c:pt idx="107">
                  <c:v>844452</c:v>
                </c:pt>
                <c:pt idx="108">
                  <c:v>1276517</c:v>
                </c:pt>
                <c:pt idx="109">
                  <c:v>308287</c:v>
                </c:pt>
                <c:pt idx="110">
                  <c:v>3637431</c:v>
                </c:pt>
                <c:pt idx="111">
                  <c:v>642040</c:v>
                </c:pt>
                <c:pt idx="112">
                  <c:v>1339111</c:v>
                </c:pt>
                <c:pt idx="113">
                  <c:v>882254</c:v>
                </c:pt>
                <c:pt idx="114">
                  <c:v>1021364</c:v>
                </c:pt>
                <c:pt idx="115">
                  <c:v>3750518</c:v>
                </c:pt>
                <c:pt idx="116">
                  <c:v>1156734</c:v>
                </c:pt>
                <c:pt idx="117">
                  <c:v>784201</c:v>
                </c:pt>
                <c:pt idx="118">
                  <c:v>771303</c:v>
                </c:pt>
                <c:pt idx="119">
                  <c:v>1450815</c:v>
                </c:pt>
                <c:pt idx="120">
                  <c:v>843608</c:v>
                </c:pt>
                <c:pt idx="121">
                  <c:v>1008609</c:v>
                </c:pt>
                <c:pt idx="122">
                  <c:v>846282</c:v>
                </c:pt>
                <c:pt idx="123">
                  <c:v>1652288</c:v>
                </c:pt>
                <c:pt idx="124">
                  <c:v>958387</c:v>
                </c:pt>
                <c:pt idx="125">
                  <c:v>2051142</c:v>
                </c:pt>
                <c:pt idx="126">
                  <c:v>655296</c:v>
                </c:pt>
                <c:pt idx="127">
                  <c:v>2196978</c:v>
                </c:pt>
                <c:pt idx="128">
                  <c:v>2204954</c:v>
                </c:pt>
                <c:pt idx="129">
                  <c:v>658810</c:v>
                </c:pt>
                <c:pt idx="130">
                  <c:v>740980</c:v>
                </c:pt>
                <c:pt idx="131">
                  <c:v>538424</c:v>
                </c:pt>
                <c:pt idx="132">
                  <c:v>1628725</c:v>
                </c:pt>
                <c:pt idx="133">
                  <c:v>1380269</c:v>
                </c:pt>
                <c:pt idx="134">
                  <c:v>703166</c:v>
                </c:pt>
                <c:pt idx="135">
                  <c:v>1601014</c:v>
                </c:pt>
                <c:pt idx="136">
                  <c:v>694007</c:v>
                </c:pt>
                <c:pt idx="137">
                  <c:v>1634448</c:v>
                </c:pt>
                <c:pt idx="138">
                  <c:v>1224335</c:v>
                </c:pt>
                <c:pt idx="139">
                  <c:v>619437</c:v>
                </c:pt>
                <c:pt idx="140">
                  <c:v>641339</c:v>
                </c:pt>
                <c:pt idx="141">
                  <c:v>544095</c:v>
                </c:pt>
                <c:pt idx="142">
                  <c:v>1442983</c:v>
                </c:pt>
                <c:pt idx="143">
                  <c:v>936189</c:v>
                </c:pt>
                <c:pt idx="144">
                  <c:v>880047</c:v>
                </c:pt>
                <c:pt idx="145">
                  <c:v>892839</c:v>
                </c:pt>
                <c:pt idx="146">
                  <c:v>1026204</c:v>
                </c:pt>
                <c:pt idx="147">
                  <c:v>2262610</c:v>
                </c:pt>
                <c:pt idx="148">
                  <c:v>2128050</c:v>
                </c:pt>
                <c:pt idx="149">
                  <c:v>971872</c:v>
                </c:pt>
                <c:pt idx="150">
                  <c:v>505575</c:v>
                </c:pt>
                <c:pt idx="151">
                  <c:v>371272</c:v>
                </c:pt>
                <c:pt idx="152">
                  <c:v>1941155</c:v>
                </c:pt>
                <c:pt idx="153">
                  <c:v>1456675</c:v>
                </c:pt>
                <c:pt idx="154">
                  <c:v>571032</c:v>
                </c:pt>
                <c:pt idx="155">
                  <c:v>1840074</c:v>
                </c:pt>
                <c:pt idx="156">
                  <c:v>573672</c:v>
                </c:pt>
                <c:pt idx="157">
                  <c:v>1134627</c:v>
                </c:pt>
                <c:pt idx="158">
                  <c:v>1906840</c:v>
                </c:pt>
                <c:pt idx="159">
                  <c:v>608706</c:v>
                </c:pt>
                <c:pt idx="160">
                  <c:v>384873</c:v>
                </c:pt>
                <c:pt idx="161">
                  <c:v>947468</c:v>
                </c:pt>
                <c:pt idx="162">
                  <c:v>1058805</c:v>
                </c:pt>
                <c:pt idx="163">
                  <c:v>1826460</c:v>
                </c:pt>
                <c:pt idx="164">
                  <c:v>1350830</c:v>
                </c:pt>
                <c:pt idx="165">
                  <c:v>972159</c:v>
                </c:pt>
                <c:pt idx="166">
                  <c:v>1311296</c:v>
                </c:pt>
                <c:pt idx="167">
                  <c:v>892419</c:v>
                </c:pt>
                <c:pt idx="168">
                  <c:v>594364</c:v>
                </c:pt>
                <c:pt idx="169">
                  <c:v>1755294</c:v>
                </c:pt>
                <c:pt idx="170">
                  <c:v>1584738</c:v>
                </c:pt>
                <c:pt idx="171">
                  <c:v>603670</c:v>
                </c:pt>
                <c:pt idx="172">
                  <c:v>2107107</c:v>
                </c:pt>
                <c:pt idx="173">
                  <c:v>1309173</c:v>
                </c:pt>
                <c:pt idx="174">
                  <c:v>1607119</c:v>
                </c:pt>
                <c:pt idx="175">
                  <c:v>868026</c:v>
                </c:pt>
                <c:pt idx="176">
                  <c:v>759892</c:v>
                </c:pt>
                <c:pt idx="177">
                  <c:v>769649</c:v>
                </c:pt>
                <c:pt idx="178">
                  <c:v>1639146</c:v>
                </c:pt>
                <c:pt idx="179">
                  <c:v>473687</c:v>
                </c:pt>
                <c:pt idx="180">
                  <c:v>3218046</c:v>
                </c:pt>
                <c:pt idx="181">
                  <c:v>2373067</c:v>
                </c:pt>
                <c:pt idx="182">
                  <c:v>2105948</c:v>
                </c:pt>
                <c:pt idx="183">
                  <c:v>1033180</c:v>
                </c:pt>
                <c:pt idx="184">
                  <c:v>1604770</c:v>
                </c:pt>
                <c:pt idx="185">
                  <c:v>2387178</c:v>
                </c:pt>
                <c:pt idx="186">
                  <c:v>1382850</c:v>
                </c:pt>
                <c:pt idx="187">
                  <c:v>1697631</c:v>
                </c:pt>
                <c:pt idx="188">
                  <c:v>2017935</c:v>
                </c:pt>
                <c:pt idx="189">
                  <c:v>1455830</c:v>
                </c:pt>
                <c:pt idx="190">
                  <c:v>1881645</c:v>
                </c:pt>
                <c:pt idx="191">
                  <c:v>2029335</c:v>
                </c:pt>
                <c:pt idx="192">
                  <c:v>2354960</c:v>
                </c:pt>
                <c:pt idx="193">
                  <c:v>2374684</c:v>
                </c:pt>
                <c:pt idx="194">
                  <c:v>1073490</c:v>
                </c:pt>
                <c:pt idx="195">
                  <c:v>1254474</c:v>
                </c:pt>
                <c:pt idx="196">
                  <c:v>2241942</c:v>
                </c:pt>
                <c:pt idx="197">
                  <c:v>4890590</c:v>
                </c:pt>
                <c:pt idx="198">
                  <c:v>936388</c:v>
                </c:pt>
                <c:pt idx="199">
                  <c:v>634836</c:v>
                </c:pt>
                <c:pt idx="200">
                  <c:v>914982</c:v>
                </c:pt>
                <c:pt idx="201">
                  <c:v>676739</c:v>
                </c:pt>
                <c:pt idx="202">
                  <c:v>841161</c:v>
                </c:pt>
                <c:pt idx="203">
                  <c:v>1494580</c:v>
                </c:pt>
                <c:pt idx="204">
                  <c:v>1950424</c:v>
                </c:pt>
                <c:pt idx="205">
                  <c:v>313404</c:v>
                </c:pt>
                <c:pt idx="206">
                  <c:v>2004094</c:v>
                </c:pt>
                <c:pt idx="207">
                  <c:v>344199</c:v>
                </c:pt>
                <c:pt idx="208">
                  <c:v>606288</c:v>
                </c:pt>
                <c:pt idx="209">
                  <c:v>628510</c:v>
                </c:pt>
                <c:pt idx="210">
                  <c:v>645320</c:v>
                </c:pt>
                <c:pt idx="211">
                  <c:v>2612222</c:v>
                </c:pt>
                <c:pt idx="212">
                  <c:v>1211164</c:v>
                </c:pt>
                <c:pt idx="213">
                  <c:v>1632242</c:v>
                </c:pt>
                <c:pt idx="214">
                  <c:v>952018</c:v>
                </c:pt>
                <c:pt idx="215">
                  <c:v>1041581</c:v>
                </c:pt>
                <c:pt idx="216">
                  <c:v>1055462</c:v>
                </c:pt>
                <c:pt idx="217">
                  <c:v>1185008</c:v>
                </c:pt>
                <c:pt idx="218">
                  <c:v>1569201</c:v>
                </c:pt>
                <c:pt idx="219">
                  <c:v>1333462</c:v>
                </c:pt>
                <c:pt idx="220">
                  <c:v>486640</c:v>
                </c:pt>
                <c:pt idx="221">
                  <c:v>2338878</c:v>
                </c:pt>
                <c:pt idx="222">
                  <c:v>1255865</c:v>
                </c:pt>
                <c:pt idx="223">
                  <c:v>1751286</c:v>
                </c:pt>
                <c:pt idx="224">
                  <c:v>1619242</c:v>
                </c:pt>
                <c:pt idx="225">
                  <c:v>2006521</c:v>
                </c:pt>
                <c:pt idx="226">
                  <c:v>811199</c:v>
                </c:pt>
                <c:pt idx="227">
                  <c:v>3015794</c:v>
                </c:pt>
                <c:pt idx="228">
                  <c:v>2278202</c:v>
                </c:pt>
                <c:pt idx="229">
                  <c:v>1293438</c:v>
                </c:pt>
                <c:pt idx="230">
                  <c:v>2167547</c:v>
                </c:pt>
                <c:pt idx="231">
                  <c:v>1994642</c:v>
                </c:pt>
                <c:pt idx="232">
                  <c:v>1456230</c:v>
                </c:pt>
                <c:pt idx="233">
                  <c:v>1002672</c:v>
                </c:pt>
                <c:pt idx="234">
                  <c:v>1424990</c:v>
                </c:pt>
                <c:pt idx="235">
                  <c:v>2580344</c:v>
                </c:pt>
                <c:pt idx="236">
                  <c:v>831594</c:v>
                </c:pt>
                <c:pt idx="237">
                  <c:v>1078056</c:v>
                </c:pt>
                <c:pt idx="238">
                  <c:v>1247312</c:v>
                </c:pt>
              </c:numCache>
            </c:numRef>
          </c:yVal>
          <c:smooth val="0"/>
          <c:extLst>
            <c:ext xmlns:c16="http://schemas.microsoft.com/office/drawing/2014/chart" uri="{C3380CC4-5D6E-409C-BE32-E72D297353CC}">
              <c16:uniqueId val="{00000000-AFA9-40D4-9D13-68E2B4430A15}"/>
            </c:ext>
          </c:extLst>
        </c:ser>
        <c:dLbls>
          <c:showLegendKey val="0"/>
          <c:showVal val="0"/>
          <c:showCatName val="0"/>
          <c:showSerName val="0"/>
          <c:showPercent val="0"/>
          <c:showBubbleSize val="0"/>
        </c:dLbls>
        <c:axId val="652587080"/>
        <c:axId val="652596080"/>
      </c:scatterChart>
      <c:valAx>
        <c:axId val="652587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2596080"/>
        <c:crosses val="autoZero"/>
        <c:crossBetween val="midCat"/>
      </c:valAx>
      <c:valAx>
        <c:axId val="652596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Freight 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0,,&quot;M&quot;;\₦0.0,&quot;K&quot;"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2587080"/>
        <c:crosses val="autoZero"/>
        <c:crossBetween val="midCat"/>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Charts!$I$286:$I$524</c:f>
              <c:numCache>
                <c:formatCode>General</c:formatCode>
                <c:ptCount val="239"/>
                <c:pt idx="0">
                  <c:v>25</c:v>
                </c:pt>
                <c:pt idx="1">
                  <c:v>26</c:v>
                </c:pt>
                <c:pt idx="2">
                  <c:v>28</c:v>
                </c:pt>
                <c:pt idx="3">
                  <c:v>31</c:v>
                </c:pt>
                <c:pt idx="4">
                  <c:v>32</c:v>
                </c:pt>
                <c:pt idx="5">
                  <c:v>35</c:v>
                </c:pt>
                <c:pt idx="6">
                  <c:v>36</c:v>
                </c:pt>
                <c:pt idx="7">
                  <c:v>37</c:v>
                </c:pt>
                <c:pt idx="8">
                  <c:v>38</c:v>
                </c:pt>
                <c:pt idx="9">
                  <c:v>42</c:v>
                </c:pt>
                <c:pt idx="10">
                  <c:v>45</c:v>
                </c:pt>
                <c:pt idx="11">
                  <c:v>46</c:v>
                </c:pt>
                <c:pt idx="12">
                  <c:v>49</c:v>
                </c:pt>
                <c:pt idx="13">
                  <c:v>50</c:v>
                </c:pt>
                <c:pt idx="14">
                  <c:v>54</c:v>
                </c:pt>
                <c:pt idx="15">
                  <c:v>59</c:v>
                </c:pt>
                <c:pt idx="16">
                  <c:v>60</c:v>
                </c:pt>
                <c:pt idx="17">
                  <c:v>67</c:v>
                </c:pt>
                <c:pt idx="18">
                  <c:v>72</c:v>
                </c:pt>
                <c:pt idx="19">
                  <c:v>77</c:v>
                </c:pt>
                <c:pt idx="20">
                  <c:v>78</c:v>
                </c:pt>
                <c:pt idx="21">
                  <c:v>79</c:v>
                </c:pt>
                <c:pt idx="22">
                  <c:v>83</c:v>
                </c:pt>
                <c:pt idx="23">
                  <c:v>90</c:v>
                </c:pt>
                <c:pt idx="24">
                  <c:v>91</c:v>
                </c:pt>
                <c:pt idx="25">
                  <c:v>97</c:v>
                </c:pt>
                <c:pt idx="26">
                  <c:v>98</c:v>
                </c:pt>
                <c:pt idx="27">
                  <c:v>99</c:v>
                </c:pt>
                <c:pt idx="28">
                  <c:v>100</c:v>
                </c:pt>
                <c:pt idx="29">
                  <c:v>103</c:v>
                </c:pt>
                <c:pt idx="30">
                  <c:v>115</c:v>
                </c:pt>
                <c:pt idx="31">
                  <c:v>117</c:v>
                </c:pt>
                <c:pt idx="32">
                  <c:v>123</c:v>
                </c:pt>
                <c:pt idx="33">
                  <c:v>128</c:v>
                </c:pt>
                <c:pt idx="34">
                  <c:v>129</c:v>
                </c:pt>
                <c:pt idx="35">
                  <c:v>132</c:v>
                </c:pt>
                <c:pt idx="36">
                  <c:v>133</c:v>
                </c:pt>
                <c:pt idx="37">
                  <c:v>135</c:v>
                </c:pt>
                <c:pt idx="38">
                  <c:v>137</c:v>
                </c:pt>
                <c:pt idx="39">
                  <c:v>140</c:v>
                </c:pt>
                <c:pt idx="40">
                  <c:v>142</c:v>
                </c:pt>
                <c:pt idx="41">
                  <c:v>144</c:v>
                </c:pt>
                <c:pt idx="42">
                  <c:v>148</c:v>
                </c:pt>
                <c:pt idx="43">
                  <c:v>149</c:v>
                </c:pt>
                <c:pt idx="44">
                  <c:v>150</c:v>
                </c:pt>
                <c:pt idx="45">
                  <c:v>152</c:v>
                </c:pt>
                <c:pt idx="46">
                  <c:v>153</c:v>
                </c:pt>
                <c:pt idx="47">
                  <c:v>159</c:v>
                </c:pt>
                <c:pt idx="48">
                  <c:v>162</c:v>
                </c:pt>
                <c:pt idx="49">
                  <c:v>163</c:v>
                </c:pt>
                <c:pt idx="50">
                  <c:v>168</c:v>
                </c:pt>
                <c:pt idx="51">
                  <c:v>169</c:v>
                </c:pt>
                <c:pt idx="52">
                  <c:v>170</c:v>
                </c:pt>
                <c:pt idx="53">
                  <c:v>171</c:v>
                </c:pt>
                <c:pt idx="54">
                  <c:v>172</c:v>
                </c:pt>
                <c:pt idx="55">
                  <c:v>177</c:v>
                </c:pt>
                <c:pt idx="56">
                  <c:v>183</c:v>
                </c:pt>
                <c:pt idx="57">
                  <c:v>185</c:v>
                </c:pt>
                <c:pt idx="58">
                  <c:v>192</c:v>
                </c:pt>
                <c:pt idx="59">
                  <c:v>199</c:v>
                </c:pt>
                <c:pt idx="60">
                  <c:v>202</c:v>
                </c:pt>
                <c:pt idx="61">
                  <c:v>207</c:v>
                </c:pt>
                <c:pt idx="62">
                  <c:v>210</c:v>
                </c:pt>
                <c:pt idx="63">
                  <c:v>217</c:v>
                </c:pt>
                <c:pt idx="64">
                  <c:v>220</c:v>
                </c:pt>
                <c:pt idx="65">
                  <c:v>222</c:v>
                </c:pt>
                <c:pt idx="66">
                  <c:v>231</c:v>
                </c:pt>
                <c:pt idx="67">
                  <c:v>232</c:v>
                </c:pt>
                <c:pt idx="68">
                  <c:v>234</c:v>
                </c:pt>
                <c:pt idx="69">
                  <c:v>235</c:v>
                </c:pt>
                <c:pt idx="70">
                  <c:v>240</c:v>
                </c:pt>
                <c:pt idx="71">
                  <c:v>241</c:v>
                </c:pt>
                <c:pt idx="72">
                  <c:v>242</c:v>
                </c:pt>
                <c:pt idx="73">
                  <c:v>246</c:v>
                </c:pt>
                <c:pt idx="74">
                  <c:v>247</c:v>
                </c:pt>
                <c:pt idx="75">
                  <c:v>257</c:v>
                </c:pt>
                <c:pt idx="76">
                  <c:v>258</c:v>
                </c:pt>
                <c:pt idx="77">
                  <c:v>260</c:v>
                </c:pt>
                <c:pt idx="78">
                  <c:v>262</c:v>
                </c:pt>
                <c:pt idx="79">
                  <c:v>267</c:v>
                </c:pt>
                <c:pt idx="80">
                  <c:v>269</c:v>
                </c:pt>
                <c:pt idx="81">
                  <c:v>277</c:v>
                </c:pt>
                <c:pt idx="82">
                  <c:v>278</c:v>
                </c:pt>
                <c:pt idx="83">
                  <c:v>280</c:v>
                </c:pt>
                <c:pt idx="84">
                  <c:v>283</c:v>
                </c:pt>
                <c:pt idx="85">
                  <c:v>285</c:v>
                </c:pt>
                <c:pt idx="86">
                  <c:v>287</c:v>
                </c:pt>
                <c:pt idx="87">
                  <c:v>294</c:v>
                </c:pt>
                <c:pt idx="88">
                  <c:v>302</c:v>
                </c:pt>
                <c:pt idx="89">
                  <c:v>303</c:v>
                </c:pt>
                <c:pt idx="90">
                  <c:v>317</c:v>
                </c:pt>
                <c:pt idx="91">
                  <c:v>318</c:v>
                </c:pt>
                <c:pt idx="92">
                  <c:v>319</c:v>
                </c:pt>
                <c:pt idx="93">
                  <c:v>326</c:v>
                </c:pt>
                <c:pt idx="94">
                  <c:v>329</c:v>
                </c:pt>
                <c:pt idx="95">
                  <c:v>330</c:v>
                </c:pt>
                <c:pt idx="96">
                  <c:v>338</c:v>
                </c:pt>
                <c:pt idx="97">
                  <c:v>346</c:v>
                </c:pt>
                <c:pt idx="98">
                  <c:v>348</c:v>
                </c:pt>
                <c:pt idx="99">
                  <c:v>349</c:v>
                </c:pt>
                <c:pt idx="100">
                  <c:v>354</c:v>
                </c:pt>
                <c:pt idx="101">
                  <c:v>356</c:v>
                </c:pt>
                <c:pt idx="102">
                  <c:v>359</c:v>
                </c:pt>
                <c:pt idx="103">
                  <c:v>364</c:v>
                </c:pt>
                <c:pt idx="104">
                  <c:v>366</c:v>
                </c:pt>
                <c:pt idx="105">
                  <c:v>373</c:v>
                </c:pt>
                <c:pt idx="106">
                  <c:v>374</c:v>
                </c:pt>
                <c:pt idx="107">
                  <c:v>378</c:v>
                </c:pt>
                <c:pt idx="108">
                  <c:v>381</c:v>
                </c:pt>
                <c:pt idx="109">
                  <c:v>383</c:v>
                </c:pt>
                <c:pt idx="110">
                  <c:v>385</c:v>
                </c:pt>
                <c:pt idx="111">
                  <c:v>388</c:v>
                </c:pt>
                <c:pt idx="112">
                  <c:v>391</c:v>
                </c:pt>
                <c:pt idx="113">
                  <c:v>393</c:v>
                </c:pt>
                <c:pt idx="114">
                  <c:v>394</c:v>
                </c:pt>
                <c:pt idx="115">
                  <c:v>399</c:v>
                </c:pt>
                <c:pt idx="116">
                  <c:v>403</c:v>
                </c:pt>
                <c:pt idx="117">
                  <c:v>404</c:v>
                </c:pt>
                <c:pt idx="118">
                  <c:v>405</c:v>
                </c:pt>
                <c:pt idx="119">
                  <c:v>407</c:v>
                </c:pt>
                <c:pt idx="120">
                  <c:v>409</c:v>
                </c:pt>
                <c:pt idx="121">
                  <c:v>411</c:v>
                </c:pt>
                <c:pt idx="122">
                  <c:v>414</c:v>
                </c:pt>
                <c:pt idx="123">
                  <c:v>415</c:v>
                </c:pt>
                <c:pt idx="124">
                  <c:v>417</c:v>
                </c:pt>
                <c:pt idx="125">
                  <c:v>423</c:v>
                </c:pt>
                <c:pt idx="126">
                  <c:v>424</c:v>
                </c:pt>
                <c:pt idx="127">
                  <c:v>427</c:v>
                </c:pt>
                <c:pt idx="128">
                  <c:v>428</c:v>
                </c:pt>
                <c:pt idx="129">
                  <c:v>433</c:v>
                </c:pt>
                <c:pt idx="130">
                  <c:v>435</c:v>
                </c:pt>
                <c:pt idx="131">
                  <c:v>442</c:v>
                </c:pt>
                <c:pt idx="132">
                  <c:v>443</c:v>
                </c:pt>
                <c:pt idx="133">
                  <c:v>449</c:v>
                </c:pt>
                <c:pt idx="134">
                  <c:v>457</c:v>
                </c:pt>
                <c:pt idx="135">
                  <c:v>458</c:v>
                </c:pt>
                <c:pt idx="136">
                  <c:v>469</c:v>
                </c:pt>
                <c:pt idx="137">
                  <c:v>474</c:v>
                </c:pt>
                <c:pt idx="138">
                  <c:v>481</c:v>
                </c:pt>
                <c:pt idx="139">
                  <c:v>498</c:v>
                </c:pt>
                <c:pt idx="140">
                  <c:v>501</c:v>
                </c:pt>
                <c:pt idx="141">
                  <c:v>505</c:v>
                </c:pt>
                <c:pt idx="142">
                  <c:v>506</c:v>
                </c:pt>
                <c:pt idx="143">
                  <c:v>509</c:v>
                </c:pt>
                <c:pt idx="144">
                  <c:v>513</c:v>
                </c:pt>
                <c:pt idx="145">
                  <c:v>514</c:v>
                </c:pt>
                <c:pt idx="146">
                  <c:v>519</c:v>
                </c:pt>
                <c:pt idx="147">
                  <c:v>521</c:v>
                </c:pt>
                <c:pt idx="148">
                  <c:v>522</c:v>
                </c:pt>
                <c:pt idx="149">
                  <c:v>524</c:v>
                </c:pt>
                <c:pt idx="150">
                  <c:v>525</c:v>
                </c:pt>
                <c:pt idx="151">
                  <c:v>529</c:v>
                </c:pt>
                <c:pt idx="152">
                  <c:v>531</c:v>
                </c:pt>
                <c:pt idx="153">
                  <c:v>538</c:v>
                </c:pt>
                <c:pt idx="154">
                  <c:v>542</c:v>
                </c:pt>
                <c:pt idx="155">
                  <c:v>544</c:v>
                </c:pt>
                <c:pt idx="156">
                  <c:v>551</c:v>
                </c:pt>
                <c:pt idx="157">
                  <c:v>557</c:v>
                </c:pt>
                <c:pt idx="158">
                  <c:v>560</c:v>
                </c:pt>
                <c:pt idx="159">
                  <c:v>561</c:v>
                </c:pt>
                <c:pt idx="160">
                  <c:v>565</c:v>
                </c:pt>
                <c:pt idx="161">
                  <c:v>568</c:v>
                </c:pt>
                <c:pt idx="162">
                  <c:v>571</c:v>
                </c:pt>
                <c:pt idx="163">
                  <c:v>580</c:v>
                </c:pt>
                <c:pt idx="164">
                  <c:v>582</c:v>
                </c:pt>
                <c:pt idx="165">
                  <c:v>583</c:v>
                </c:pt>
                <c:pt idx="166">
                  <c:v>586</c:v>
                </c:pt>
                <c:pt idx="167">
                  <c:v>587</c:v>
                </c:pt>
                <c:pt idx="168">
                  <c:v>591</c:v>
                </c:pt>
                <c:pt idx="169">
                  <c:v>593</c:v>
                </c:pt>
                <c:pt idx="170">
                  <c:v>595</c:v>
                </c:pt>
                <c:pt idx="171">
                  <c:v>605</c:v>
                </c:pt>
                <c:pt idx="172">
                  <c:v>612</c:v>
                </c:pt>
                <c:pt idx="173">
                  <c:v>623</c:v>
                </c:pt>
                <c:pt idx="174">
                  <c:v>626</c:v>
                </c:pt>
                <c:pt idx="175">
                  <c:v>627</c:v>
                </c:pt>
                <c:pt idx="176">
                  <c:v>628</c:v>
                </c:pt>
                <c:pt idx="177">
                  <c:v>633</c:v>
                </c:pt>
                <c:pt idx="178">
                  <c:v>634</c:v>
                </c:pt>
                <c:pt idx="179">
                  <c:v>635</c:v>
                </c:pt>
                <c:pt idx="180">
                  <c:v>639</c:v>
                </c:pt>
                <c:pt idx="181">
                  <c:v>640</c:v>
                </c:pt>
                <c:pt idx="182">
                  <c:v>644</c:v>
                </c:pt>
                <c:pt idx="183">
                  <c:v>645</c:v>
                </c:pt>
                <c:pt idx="184">
                  <c:v>646</c:v>
                </c:pt>
                <c:pt idx="185">
                  <c:v>647</c:v>
                </c:pt>
                <c:pt idx="186">
                  <c:v>649</c:v>
                </c:pt>
                <c:pt idx="187">
                  <c:v>651</c:v>
                </c:pt>
                <c:pt idx="188">
                  <c:v>657</c:v>
                </c:pt>
                <c:pt idx="189">
                  <c:v>659</c:v>
                </c:pt>
                <c:pt idx="190">
                  <c:v>663</c:v>
                </c:pt>
                <c:pt idx="191">
                  <c:v>672</c:v>
                </c:pt>
                <c:pt idx="192">
                  <c:v>674</c:v>
                </c:pt>
                <c:pt idx="193">
                  <c:v>678</c:v>
                </c:pt>
                <c:pt idx="194">
                  <c:v>682</c:v>
                </c:pt>
                <c:pt idx="195">
                  <c:v>685</c:v>
                </c:pt>
                <c:pt idx="196">
                  <c:v>690</c:v>
                </c:pt>
                <c:pt idx="197">
                  <c:v>696</c:v>
                </c:pt>
                <c:pt idx="198">
                  <c:v>706</c:v>
                </c:pt>
                <c:pt idx="199">
                  <c:v>709</c:v>
                </c:pt>
                <c:pt idx="200">
                  <c:v>714</c:v>
                </c:pt>
                <c:pt idx="201">
                  <c:v>715</c:v>
                </c:pt>
                <c:pt idx="202">
                  <c:v>718</c:v>
                </c:pt>
                <c:pt idx="203">
                  <c:v>719</c:v>
                </c:pt>
                <c:pt idx="204">
                  <c:v>722</c:v>
                </c:pt>
                <c:pt idx="205">
                  <c:v>724</c:v>
                </c:pt>
                <c:pt idx="206">
                  <c:v>727</c:v>
                </c:pt>
                <c:pt idx="207">
                  <c:v>734</c:v>
                </c:pt>
                <c:pt idx="208">
                  <c:v>739</c:v>
                </c:pt>
                <c:pt idx="209">
                  <c:v>742</c:v>
                </c:pt>
                <c:pt idx="210">
                  <c:v>750</c:v>
                </c:pt>
                <c:pt idx="211">
                  <c:v>751</c:v>
                </c:pt>
                <c:pt idx="212">
                  <c:v>757</c:v>
                </c:pt>
                <c:pt idx="213">
                  <c:v>758</c:v>
                </c:pt>
                <c:pt idx="214">
                  <c:v>768</c:v>
                </c:pt>
                <c:pt idx="215">
                  <c:v>769</c:v>
                </c:pt>
                <c:pt idx="216">
                  <c:v>779</c:v>
                </c:pt>
                <c:pt idx="217">
                  <c:v>786</c:v>
                </c:pt>
                <c:pt idx="218">
                  <c:v>792</c:v>
                </c:pt>
                <c:pt idx="219">
                  <c:v>794</c:v>
                </c:pt>
                <c:pt idx="220">
                  <c:v>795</c:v>
                </c:pt>
                <c:pt idx="221">
                  <c:v>796</c:v>
                </c:pt>
                <c:pt idx="222">
                  <c:v>800</c:v>
                </c:pt>
                <c:pt idx="223">
                  <c:v>801</c:v>
                </c:pt>
                <c:pt idx="224">
                  <c:v>803</c:v>
                </c:pt>
                <c:pt idx="225">
                  <c:v>805</c:v>
                </c:pt>
                <c:pt idx="226">
                  <c:v>807</c:v>
                </c:pt>
                <c:pt idx="227">
                  <c:v>813</c:v>
                </c:pt>
                <c:pt idx="228">
                  <c:v>814</c:v>
                </c:pt>
                <c:pt idx="229">
                  <c:v>819</c:v>
                </c:pt>
                <c:pt idx="230">
                  <c:v>828</c:v>
                </c:pt>
                <c:pt idx="231">
                  <c:v>834</c:v>
                </c:pt>
                <c:pt idx="232">
                  <c:v>835</c:v>
                </c:pt>
                <c:pt idx="233">
                  <c:v>839</c:v>
                </c:pt>
                <c:pt idx="234">
                  <c:v>842</c:v>
                </c:pt>
                <c:pt idx="235">
                  <c:v>843</c:v>
                </c:pt>
                <c:pt idx="236">
                  <c:v>845</c:v>
                </c:pt>
                <c:pt idx="237">
                  <c:v>846</c:v>
                </c:pt>
                <c:pt idx="238">
                  <c:v>848</c:v>
                </c:pt>
              </c:numCache>
            </c:numRef>
          </c:xVal>
          <c:yVal>
            <c:numRef>
              <c:f>Charts!$J$286:$J$524</c:f>
              <c:numCache>
                <c:formatCode>General</c:formatCode>
                <c:ptCount val="239"/>
                <c:pt idx="0">
                  <c:v>3</c:v>
                </c:pt>
                <c:pt idx="1">
                  <c:v>4</c:v>
                </c:pt>
                <c:pt idx="2">
                  <c:v>8</c:v>
                </c:pt>
                <c:pt idx="3">
                  <c:v>3</c:v>
                </c:pt>
                <c:pt idx="4">
                  <c:v>9</c:v>
                </c:pt>
                <c:pt idx="5">
                  <c:v>6</c:v>
                </c:pt>
                <c:pt idx="6">
                  <c:v>7</c:v>
                </c:pt>
                <c:pt idx="7">
                  <c:v>5</c:v>
                </c:pt>
                <c:pt idx="8">
                  <c:v>5</c:v>
                </c:pt>
                <c:pt idx="9">
                  <c:v>1</c:v>
                </c:pt>
                <c:pt idx="10">
                  <c:v>5</c:v>
                </c:pt>
                <c:pt idx="11">
                  <c:v>8</c:v>
                </c:pt>
                <c:pt idx="12">
                  <c:v>3</c:v>
                </c:pt>
                <c:pt idx="13">
                  <c:v>8</c:v>
                </c:pt>
                <c:pt idx="14">
                  <c:v>2</c:v>
                </c:pt>
                <c:pt idx="15">
                  <c:v>6</c:v>
                </c:pt>
                <c:pt idx="16">
                  <c:v>6</c:v>
                </c:pt>
                <c:pt idx="17">
                  <c:v>10</c:v>
                </c:pt>
                <c:pt idx="18">
                  <c:v>6</c:v>
                </c:pt>
                <c:pt idx="19">
                  <c:v>8</c:v>
                </c:pt>
                <c:pt idx="20">
                  <c:v>4</c:v>
                </c:pt>
                <c:pt idx="21">
                  <c:v>5</c:v>
                </c:pt>
                <c:pt idx="22">
                  <c:v>10</c:v>
                </c:pt>
                <c:pt idx="23">
                  <c:v>6</c:v>
                </c:pt>
                <c:pt idx="24">
                  <c:v>6</c:v>
                </c:pt>
                <c:pt idx="25">
                  <c:v>6</c:v>
                </c:pt>
                <c:pt idx="26">
                  <c:v>5</c:v>
                </c:pt>
                <c:pt idx="27">
                  <c:v>3</c:v>
                </c:pt>
                <c:pt idx="28">
                  <c:v>4</c:v>
                </c:pt>
                <c:pt idx="29">
                  <c:v>3</c:v>
                </c:pt>
                <c:pt idx="30">
                  <c:v>4</c:v>
                </c:pt>
                <c:pt idx="31">
                  <c:v>3</c:v>
                </c:pt>
                <c:pt idx="32">
                  <c:v>5</c:v>
                </c:pt>
                <c:pt idx="33">
                  <c:v>13</c:v>
                </c:pt>
                <c:pt idx="34">
                  <c:v>10</c:v>
                </c:pt>
                <c:pt idx="35">
                  <c:v>1</c:v>
                </c:pt>
                <c:pt idx="36">
                  <c:v>15</c:v>
                </c:pt>
                <c:pt idx="37">
                  <c:v>4</c:v>
                </c:pt>
                <c:pt idx="38">
                  <c:v>2</c:v>
                </c:pt>
                <c:pt idx="39">
                  <c:v>8</c:v>
                </c:pt>
                <c:pt idx="40">
                  <c:v>13</c:v>
                </c:pt>
                <c:pt idx="41">
                  <c:v>5</c:v>
                </c:pt>
                <c:pt idx="42">
                  <c:v>3</c:v>
                </c:pt>
                <c:pt idx="43">
                  <c:v>6</c:v>
                </c:pt>
                <c:pt idx="44">
                  <c:v>2</c:v>
                </c:pt>
                <c:pt idx="45">
                  <c:v>2</c:v>
                </c:pt>
                <c:pt idx="46">
                  <c:v>6</c:v>
                </c:pt>
                <c:pt idx="47">
                  <c:v>2</c:v>
                </c:pt>
                <c:pt idx="48">
                  <c:v>13</c:v>
                </c:pt>
                <c:pt idx="49">
                  <c:v>13</c:v>
                </c:pt>
                <c:pt idx="50">
                  <c:v>6</c:v>
                </c:pt>
                <c:pt idx="51">
                  <c:v>9</c:v>
                </c:pt>
                <c:pt idx="52">
                  <c:v>10</c:v>
                </c:pt>
                <c:pt idx="53">
                  <c:v>7</c:v>
                </c:pt>
                <c:pt idx="54">
                  <c:v>2</c:v>
                </c:pt>
                <c:pt idx="55">
                  <c:v>4</c:v>
                </c:pt>
                <c:pt idx="56">
                  <c:v>2</c:v>
                </c:pt>
                <c:pt idx="57">
                  <c:v>13</c:v>
                </c:pt>
                <c:pt idx="58">
                  <c:v>5</c:v>
                </c:pt>
                <c:pt idx="59">
                  <c:v>17</c:v>
                </c:pt>
                <c:pt idx="60">
                  <c:v>2</c:v>
                </c:pt>
                <c:pt idx="61">
                  <c:v>6</c:v>
                </c:pt>
                <c:pt idx="62">
                  <c:v>7</c:v>
                </c:pt>
                <c:pt idx="63">
                  <c:v>7</c:v>
                </c:pt>
                <c:pt idx="64">
                  <c:v>16</c:v>
                </c:pt>
                <c:pt idx="65">
                  <c:v>9</c:v>
                </c:pt>
                <c:pt idx="66">
                  <c:v>8</c:v>
                </c:pt>
                <c:pt idx="67">
                  <c:v>6</c:v>
                </c:pt>
                <c:pt idx="68">
                  <c:v>5</c:v>
                </c:pt>
                <c:pt idx="69">
                  <c:v>14</c:v>
                </c:pt>
                <c:pt idx="70">
                  <c:v>5</c:v>
                </c:pt>
                <c:pt idx="71">
                  <c:v>14</c:v>
                </c:pt>
                <c:pt idx="72">
                  <c:v>19</c:v>
                </c:pt>
                <c:pt idx="73">
                  <c:v>5</c:v>
                </c:pt>
                <c:pt idx="74">
                  <c:v>6</c:v>
                </c:pt>
                <c:pt idx="75">
                  <c:v>7</c:v>
                </c:pt>
                <c:pt idx="76">
                  <c:v>4</c:v>
                </c:pt>
                <c:pt idx="77">
                  <c:v>6</c:v>
                </c:pt>
                <c:pt idx="78">
                  <c:v>4</c:v>
                </c:pt>
                <c:pt idx="79">
                  <c:v>8</c:v>
                </c:pt>
                <c:pt idx="80">
                  <c:v>4</c:v>
                </c:pt>
                <c:pt idx="81">
                  <c:v>12</c:v>
                </c:pt>
                <c:pt idx="82">
                  <c:v>6</c:v>
                </c:pt>
                <c:pt idx="83">
                  <c:v>6</c:v>
                </c:pt>
                <c:pt idx="84">
                  <c:v>4</c:v>
                </c:pt>
                <c:pt idx="85">
                  <c:v>4</c:v>
                </c:pt>
                <c:pt idx="86">
                  <c:v>3</c:v>
                </c:pt>
                <c:pt idx="87">
                  <c:v>1</c:v>
                </c:pt>
                <c:pt idx="88">
                  <c:v>3</c:v>
                </c:pt>
                <c:pt idx="89">
                  <c:v>5</c:v>
                </c:pt>
                <c:pt idx="90">
                  <c:v>9</c:v>
                </c:pt>
                <c:pt idx="91">
                  <c:v>6</c:v>
                </c:pt>
                <c:pt idx="92">
                  <c:v>6</c:v>
                </c:pt>
                <c:pt idx="93">
                  <c:v>2</c:v>
                </c:pt>
                <c:pt idx="94">
                  <c:v>4</c:v>
                </c:pt>
                <c:pt idx="95">
                  <c:v>11</c:v>
                </c:pt>
                <c:pt idx="96">
                  <c:v>3</c:v>
                </c:pt>
                <c:pt idx="97">
                  <c:v>17</c:v>
                </c:pt>
                <c:pt idx="98">
                  <c:v>6</c:v>
                </c:pt>
                <c:pt idx="99">
                  <c:v>6</c:v>
                </c:pt>
                <c:pt idx="100">
                  <c:v>2</c:v>
                </c:pt>
                <c:pt idx="101">
                  <c:v>2</c:v>
                </c:pt>
                <c:pt idx="102">
                  <c:v>1</c:v>
                </c:pt>
                <c:pt idx="103">
                  <c:v>5</c:v>
                </c:pt>
                <c:pt idx="104">
                  <c:v>7</c:v>
                </c:pt>
                <c:pt idx="105">
                  <c:v>7</c:v>
                </c:pt>
                <c:pt idx="106">
                  <c:v>3</c:v>
                </c:pt>
                <c:pt idx="107">
                  <c:v>7</c:v>
                </c:pt>
                <c:pt idx="108">
                  <c:v>9</c:v>
                </c:pt>
                <c:pt idx="109">
                  <c:v>1</c:v>
                </c:pt>
                <c:pt idx="110">
                  <c:v>13</c:v>
                </c:pt>
                <c:pt idx="111">
                  <c:v>8</c:v>
                </c:pt>
                <c:pt idx="112">
                  <c:v>1</c:v>
                </c:pt>
                <c:pt idx="113">
                  <c:v>10</c:v>
                </c:pt>
                <c:pt idx="114">
                  <c:v>11</c:v>
                </c:pt>
                <c:pt idx="115">
                  <c:v>15</c:v>
                </c:pt>
                <c:pt idx="116">
                  <c:v>4</c:v>
                </c:pt>
                <c:pt idx="117">
                  <c:v>9</c:v>
                </c:pt>
                <c:pt idx="118">
                  <c:v>6</c:v>
                </c:pt>
                <c:pt idx="119">
                  <c:v>3</c:v>
                </c:pt>
                <c:pt idx="120">
                  <c:v>5</c:v>
                </c:pt>
                <c:pt idx="121">
                  <c:v>4</c:v>
                </c:pt>
                <c:pt idx="122">
                  <c:v>6</c:v>
                </c:pt>
                <c:pt idx="123">
                  <c:v>10</c:v>
                </c:pt>
                <c:pt idx="124">
                  <c:v>2</c:v>
                </c:pt>
                <c:pt idx="125">
                  <c:v>6</c:v>
                </c:pt>
                <c:pt idx="126">
                  <c:v>6</c:v>
                </c:pt>
                <c:pt idx="127">
                  <c:v>4</c:v>
                </c:pt>
                <c:pt idx="128">
                  <c:v>6</c:v>
                </c:pt>
                <c:pt idx="129">
                  <c:v>8</c:v>
                </c:pt>
                <c:pt idx="130">
                  <c:v>5</c:v>
                </c:pt>
                <c:pt idx="131">
                  <c:v>9</c:v>
                </c:pt>
                <c:pt idx="132">
                  <c:v>4</c:v>
                </c:pt>
                <c:pt idx="133">
                  <c:v>8</c:v>
                </c:pt>
                <c:pt idx="134">
                  <c:v>5</c:v>
                </c:pt>
                <c:pt idx="135">
                  <c:v>4</c:v>
                </c:pt>
                <c:pt idx="136">
                  <c:v>5</c:v>
                </c:pt>
                <c:pt idx="137">
                  <c:v>8</c:v>
                </c:pt>
                <c:pt idx="138">
                  <c:v>5</c:v>
                </c:pt>
                <c:pt idx="139">
                  <c:v>6</c:v>
                </c:pt>
                <c:pt idx="140">
                  <c:v>7</c:v>
                </c:pt>
                <c:pt idx="141">
                  <c:v>2</c:v>
                </c:pt>
                <c:pt idx="142">
                  <c:v>9</c:v>
                </c:pt>
                <c:pt idx="143">
                  <c:v>8</c:v>
                </c:pt>
                <c:pt idx="144">
                  <c:v>7</c:v>
                </c:pt>
                <c:pt idx="145">
                  <c:v>2</c:v>
                </c:pt>
                <c:pt idx="146">
                  <c:v>5</c:v>
                </c:pt>
                <c:pt idx="147">
                  <c:v>11</c:v>
                </c:pt>
                <c:pt idx="148">
                  <c:v>8</c:v>
                </c:pt>
                <c:pt idx="149">
                  <c:v>7</c:v>
                </c:pt>
                <c:pt idx="150">
                  <c:v>1</c:v>
                </c:pt>
                <c:pt idx="151">
                  <c:v>5</c:v>
                </c:pt>
                <c:pt idx="152">
                  <c:v>6</c:v>
                </c:pt>
                <c:pt idx="153">
                  <c:v>6</c:v>
                </c:pt>
                <c:pt idx="154">
                  <c:v>3</c:v>
                </c:pt>
                <c:pt idx="155">
                  <c:v>19</c:v>
                </c:pt>
                <c:pt idx="156">
                  <c:v>3</c:v>
                </c:pt>
                <c:pt idx="157">
                  <c:v>17</c:v>
                </c:pt>
                <c:pt idx="158">
                  <c:v>4</c:v>
                </c:pt>
                <c:pt idx="159">
                  <c:v>2</c:v>
                </c:pt>
                <c:pt idx="160">
                  <c:v>6</c:v>
                </c:pt>
                <c:pt idx="161">
                  <c:v>9</c:v>
                </c:pt>
                <c:pt idx="162">
                  <c:v>2</c:v>
                </c:pt>
                <c:pt idx="163">
                  <c:v>2</c:v>
                </c:pt>
                <c:pt idx="164">
                  <c:v>9</c:v>
                </c:pt>
                <c:pt idx="165">
                  <c:v>7</c:v>
                </c:pt>
                <c:pt idx="166">
                  <c:v>13</c:v>
                </c:pt>
                <c:pt idx="167">
                  <c:v>6</c:v>
                </c:pt>
                <c:pt idx="168">
                  <c:v>7</c:v>
                </c:pt>
                <c:pt idx="169">
                  <c:v>3</c:v>
                </c:pt>
                <c:pt idx="170">
                  <c:v>16</c:v>
                </c:pt>
                <c:pt idx="171">
                  <c:v>3</c:v>
                </c:pt>
                <c:pt idx="172">
                  <c:v>5</c:v>
                </c:pt>
                <c:pt idx="173">
                  <c:v>4</c:v>
                </c:pt>
                <c:pt idx="174">
                  <c:v>7</c:v>
                </c:pt>
                <c:pt idx="175">
                  <c:v>4</c:v>
                </c:pt>
                <c:pt idx="176">
                  <c:v>4</c:v>
                </c:pt>
                <c:pt idx="177">
                  <c:v>7</c:v>
                </c:pt>
                <c:pt idx="178">
                  <c:v>7</c:v>
                </c:pt>
                <c:pt idx="179">
                  <c:v>7</c:v>
                </c:pt>
                <c:pt idx="180">
                  <c:v>13</c:v>
                </c:pt>
                <c:pt idx="181">
                  <c:v>5</c:v>
                </c:pt>
                <c:pt idx="182">
                  <c:v>6</c:v>
                </c:pt>
                <c:pt idx="183">
                  <c:v>10</c:v>
                </c:pt>
                <c:pt idx="184">
                  <c:v>2</c:v>
                </c:pt>
                <c:pt idx="185">
                  <c:v>18</c:v>
                </c:pt>
                <c:pt idx="186">
                  <c:v>7</c:v>
                </c:pt>
                <c:pt idx="187">
                  <c:v>6</c:v>
                </c:pt>
                <c:pt idx="188">
                  <c:v>6</c:v>
                </c:pt>
                <c:pt idx="189">
                  <c:v>4</c:v>
                </c:pt>
                <c:pt idx="190">
                  <c:v>8</c:v>
                </c:pt>
                <c:pt idx="191">
                  <c:v>1</c:v>
                </c:pt>
                <c:pt idx="192">
                  <c:v>8</c:v>
                </c:pt>
                <c:pt idx="193">
                  <c:v>6</c:v>
                </c:pt>
                <c:pt idx="194">
                  <c:v>8</c:v>
                </c:pt>
                <c:pt idx="195">
                  <c:v>2</c:v>
                </c:pt>
                <c:pt idx="196">
                  <c:v>11</c:v>
                </c:pt>
                <c:pt idx="197">
                  <c:v>18</c:v>
                </c:pt>
                <c:pt idx="198">
                  <c:v>6</c:v>
                </c:pt>
                <c:pt idx="199">
                  <c:v>4</c:v>
                </c:pt>
                <c:pt idx="200">
                  <c:v>4</c:v>
                </c:pt>
                <c:pt idx="201">
                  <c:v>5</c:v>
                </c:pt>
                <c:pt idx="202">
                  <c:v>5</c:v>
                </c:pt>
                <c:pt idx="203">
                  <c:v>10</c:v>
                </c:pt>
                <c:pt idx="204">
                  <c:v>5</c:v>
                </c:pt>
                <c:pt idx="205">
                  <c:v>3</c:v>
                </c:pt>
                <c:pt idx="206">
                  <c:v>9</c:v>
                </c:pt>
                <c:pt idx="207">
                  <c:v>6</c:v>
                </c:pt>
                <c:pt idx="208">
                  <c:v>6</c:v>
                </c:pt>
                <c:pt idx="209">
                  <c:v>6</c:v>
                </c:pt>
                <c:pt idx="210">
                  <c:v>3</c:v>
                </c:pt>
                <c:pt idx="211">
                  <c:v>9</c:v>
                </c:pt>
                <c:pt idx="212">
                  <c:v>3</c:v>
                </c:pt>
                <c:pt idx="213">
                  <c:v>6</c:v>
                </c:pt>
                <c:pt idx="214">
                  <c:v>5</c:v>
                </c:pt>
                <c:pt idx="215">
                  <c:v>7</c:v>
                </c:pt>
                <c:pt idx="216">
                  <c:v>5</c:v>
                </c:pt>
                <c:pt idx="217">
                  <c:v>11</c:v>
                </c:pt>
                <c:pt idx="218">
                  <c:v>8</c:v>
                </c:pt>
                <c:pt idx="219">
                  <c:v>6</c:v>
                </c:pt>
                <c:pt idx="220">
                  <c:v>7</c:v>
                </c:pt>
                <c:pt idx="221">
                  <c:v>9</c:v>
                </c:pt>
                <c:pt idx="222">
                  <c:v>11</c:v>
                </c:pt>
                <c:pt idx="223">
                  <c:v>2</c:v>
                </c:pt>
                <c:pt idx="224">
                  <c:v>5</c:v>
                </c:pt>
                <c:pt idx="225">
                  <c:v>10</c:v>
                </c:pt>
                <c:pt idx="226">
                  <c:v>3</c:v>
                </c:pt>
                <c:pt idx="227">
                  <c:v>15</c:v>
                </c:pt>
                <c:pt idx="228">
                  <c:v>9</c:v>
                </c:pt>
                <c:pt idx="229">
                  <c:v>4</c:v>
                </c:pt>
                <c:pt idx="230">
                  <c:v>23</c:v>
                </c:pt>
                <c:pt idx="231">
                  <c:v>15</c:v>
                </c:pt>
                <c:pt idx="232">
                  <c:v>3</c:v>
                </c:pt>
                <c:pt idx="233">
                  <c:v>6</c:v>
                </c:pt>
                <c:pt idx="234">
                  <c:v>8</c:v>
                </c:pt>
                <c:pt idx="235">
                  <c:v>12</c:v>
                </c:pt>
                <c:pt idx="236">
                  <c:v>7</c:v>
                </c:pt>
                <c:pt idx="237">
                  <c:v>5</c:v>
                </c:pt>
                <c:pt idx="238">
                  <c:v>3</c:v>
                </c:pt>
              </c:numCache>
            </c:numRef>
          </c:yVal>
          <c:smooth val="0"/>
          <c:extLst>
            <c:ext xmlns:c16="http://schemas.microsoft.com/office/drawing/2014/chart" uri="{C3380CC4-5D6E-409C-BE32-E72D297353CC}">
              <c16:uniqueId val="{00000000-9880-446B-AFF9-A75341D65E48}"/>
            </c:ext>
          </c:extLst>
        </c:ser>
        <c:dLbls>
          <c:showLegendKey val="0"/>
          <c:showVal val="0"/>
          <c:showCatName val="0"/>
          <c:showSerName val="0"/>
          <c:showPercent val="0"/>
          <c:showBubbleSize val="0"/>
        </c:dLbls>
        <c:axId val="523182752"/>
        <c:axId val="548170120"/>
      </c:scatterChart>
      <c:valAx>
        <c:axId val="523182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48170120"/>
        <c:crosses val="autoZero"/>
        <c:crossBetween val="midCat"/>
      </c:valAx>
      <c:valAx>
        <c:axId val="548170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Actual Transit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318275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scatterChart>
        <c:scatterStyle val="lineMarker"/>
        <c:varyColors val="0"/>
        <c:ser>
          <c:idx val="0"/>
          <c:order val="0"/>
          <c:spPr>
            <a:ln w="38100" cap="rnd">
              <a:noFill/>
              <a:round/>
            </a:ln>
            <a:effectLst/>
          </c:spPr>
          <c:marker>
            <c:symbol val="circle"/>
            <c:size val="5"/>
            <c:spPr>
              <a:solidFill>
                <a:schemeClr val="accent2"/>
              </a:solidFill>
              <a:ln w="9525">
                <a:solidFill>
                  <a:schemeClr val="accent2"/>
                </a:solidFill>
              </a:ln>
              <a:effectLst/>
            </c:spPr>
          </c:marker>
          <c:xVal>
            <c:numRef>
              <c:f>Charts!$M$286:$M$524</c:f>
              <c:numCache>
                <c:formatCode>General</c:formatCode>
                <c:ptCount val="239"/>
                <c:pt idx="0">
                  <c:v>25</c:v>
                </c:pt>
                <c:pt idx="1">
                  <c:v>26</c:v>
                </c:pt>
                <c:pt idx="2">
                  <c:v>28</c:v>
                </c:pt>
                <c:pt idx="3">
                  <c:v>31</c:v>
                </c:pt>
                <c:pt idx="4">
                  <c:v>32</c:v>
                </c:pt>
                <c:pt idx="5">
                  <c:v>35</c:v>
                </c:pt>
                <c:pt idx="6">
                  <c:v>36</c:v>
                </c:pt>
                <c:pt idx="7">
                  <c:v>37</c:v>
                </c:pt>
                <c:pt idx="8">
                  <c:v>38</c:v>
                </c:pt>
                <c:pt idx="9">
                  <c:v>42</c:v>
                </c:pt>
                <c:pt idx="10">
                  <c:v>45</c:v>
                </c:pt>
                <c:pt idx="11">
                  <c:v>46</c:v>
                </c:pt>
                <c:pt idx="12">
                  <c:v>49</c:v>
                </c:pt>
                <c:pt idx="13">
                  <c:v>50</c:v>
                </c:pt>
                <c:pt idx="14">
                  <c:v>54</c:v>
                </c:pt>
                <c:pt idx="15">
                  <c:v>59</c:v>
                </c:pt>
                <c:pt idx="16">
                  <c:v>60</c:v>
                </c:pt>
                <c:pt idx="17">
                  <c:v>67</c:v>
                </c:pt>
                <c:pt idx="18">
                  <c:v>72</c:v>
                </c:pt>
                <c:pt idx="19">
                  <c:v>77</c:v>
                </c:pt>
                <c:pt idx="20">
                  <c:v>78</c:v>
                </c:pt>
                <c:pt idx="21">
                  <c:v>79</c:v>
                </c:pt>
                <c:pt idx="22">
                  <c:v>83</c:v>
                </c:pt>
                <c:pt idx="23">
                  <c:v>90</c:v>
                </c:pt>
                <c:pt idx="24">
                  <c:v>91</c:v>
                </c:pt>
                <c:pt idx="25">
                  <c:v>97</c:v>
                </c:pt>
                <c:pt idx="26">
                  <c:v>98</c:v>
                </c:pt>
                <c:pt idx="27">
                  <c:v>99</c:v>
                </c:pt>
                <c:pt idx="28">
                  <c:v>100</c:v>
                </c:pt>
                <c:pt idx="29">
                  <c:v>103</c:v>
                </c:pt>
                <c:pt idx="30">
                  <c:v>115</c:v>
                </c:pt>
                <c:pt idx="31">
                  <c:v>117</c:v>
                </c:pt>
                <c:pt idx="32">
                  <c:v>123</c:v>
                </c:pt>
                <c:pt idx="33">
                  <c:v>128</c:v>
                </c:pt>
                <c:pt idx="34">
                  <c:v>129</c:v>
                </c:pt>
                <c:pt idx="35">
                  <c:v>132</c:v>
                </c:pt>
                <c:pt idx="36">
                  <c:v>133</c:v>
                </c:pt>
                <c:pt idx="37">
                  <c:v>135</c:v>
                </c:pt>
                <c:pt idx="38">
                  <c:v>137</c:v>
                </c:pt>
                <c:pt idx="39">
                  <c:v>140</c:v>
                </c:pt>
                <c:pt idx="40">
                  <c:v>142</c:v>
                </c:pt>
                <c:pt idx="41">
                  <c:v>144</c:v>
                </c:pt>
                <c:pt idx="42">
                  <c:v>148</c:v>
                </c:pt>
                <c:pt idx="43">
                  <c:v>149</c:v>
                </c:pt>
                <c:pt idx="44">
                  <c:v>150</c:v>
                </c:pt>
                <c:pt idx="45">
                  <c:v>152</c:v>
                </c:pt>
                <c:pt idx="46">
                  <c:v>153</c:v>
                </c:pt>
                <c:pt idx="47">
                  <c:v>159</c:v>
                </c:pt>
                <c:pt idx="48">
                  <c:v>162</c:v>
                </c:pt>
                <c:pt idx="49">
                  <c:v>163</c:v>
                </c:pt>
                <c:pt idx="50">
                  <c:v>168</c:v>
                </c:pt>
                <c:pt idx="51">
                  <c:v>169</c:v>
                </c:pt>
                <c:pt idx="52">
                  <c:v>170</c:v>
                </c:pt>
                <c:pt idx="53">
                  <c:v>171</c:v>
                </c:pt>
                <c:pt idx="54">
                  <c:v>172</c:v>
                </c:pt>
                <c:pt idx="55">
                  <c:v>177</c:v>
                </c:pt>
                <c:pt idx="56">
                  <c:v>183</c:v>
                </c:pt>
                <c:pt idx="57">
                  <c:v>185</c:v>
                </c:pt>
                <c:pt idx="58">
                  <c:v>192</c:v>
                </c:pt>
                <c:pt idx="59">
                  <c:v>199</c:v>
                </c:pt>
                <c:pt idx="60">
                  <c:v>202</c:v>
                </c:pt>
                <c:pt idx="61">
                  <c:v>207</c:v>
                </c:pt>
                <c:pt idx="62">
                  <c:v>210</c:v>
                </c:pt>
                <c:pt idx="63">
                  <c:v>217</c:v>
                </c:pt>
                <c:pt idx="64">
                  <c:v>220</c:v>
                </c:pt>
                <c:pt idx="65">
                  <c:v>222</c:v>
                </c:pt>
                <c:pt idx="66">
                  <c:v>231</c:v>
                </c:pt>
                <c:pt idx="67">
                  <c:v>232</c:v>
                </c:pt>
                <c:pt idx="68">
                  <c:v>234</c:v>
                </c:pt>
                <c:pt idx="69">
                  <c:v>235</c:v>
                </c:pt>
                <c:pt idx="70">
                  <c:v>240</c:v>
                </c:pt>
                <c:pt idx="71">
                  <c:v>241</c:v>
                </c:pt>
                <c:pt idx="72">
                  <c:v>242</c:v>
                </c:pt>
                <c:pt idx="73">
                  <c:v>246</c:v>
                </c:pt>
                <c:pt idx="74">
                  <c:v>247</c:v>
                </c:pt>
                <c:pt idx="75">
                  <c:v>257</c:v>
                </c:pt>
                <c:pt idx="76">
                  <c:v>258</c:v>
                </c:pt>
                <c:pt idx="77">
                  <c:v>260</c:v>
                </c:pt>
                <c:pt idx="78">
                  <c:v>262</c:v>
                </c:pt>
                <c:pt idx="79">
                  <c:v>267</c:v>
                </c:pt>
                <c:pt idx="80">
                  <c:v>269</c:v>
                </c:pt>
                <c:pt idx="81">
                  <c:v>277</c:v>
                </c:pt>
                <c:pt idx="82">
                  <c:v>278</c:v>
                </c:pt>
                <c:pt idx="83">
                  <c:v>280</c:v>
                </c:pt>
                <c:pt idx="84">
                  <c:v>283</c:v>
                </c:pt>
                <c:pt idx="85">
                  <c:v>285</c:v>
                </c:pt>
                <c:pt idx="86">
                  <c:v>287</c:v>
                </c:pt>
                <c:pt idx="87">
                  <c:v>294</c:v>
                </c:pt>
                <c:pt idx="88">
                  <c:v>302</c:v>
                </c:pt>
                <c:pt idx="89">
                  <c:v>303</c:v>
                </c:pt>
                <c:pt idx="90">
                  <c:v>317</c:v>
                </c:pt>
                <c:pt idx="91">
                  <c:v>318</c:v>
                </c:pt>
                <c:pt idx="92">
                  <c:v>319</c:v>
                </c:pt>
                <c:pt idx="93">
                  <c:v>326</c:v>
                </c:pt>
                <c:pt idx="94">
                  <c:v>329</c:v>
                </c:pt>
                <c:pt idx="95">
                  <c:v>330</c:v>
                </c:pt>
                <c:pt idx="96">
                  <c:v>338</c:v>
                </c:pt>
                <c:pt idx="97">
                  <c:v>346</c:v>
                </c:pt>
                <c:pt idx="98">
                  <c:v>348</c:v>
                </c:pt>
                <c:pt idx="99">
                  <c:v>349</c:v>
                </c:pt>
                <c:pt idx="100">
                  <c:v>354</c:v>
                </c:pt>
                <c:pt idx="101">
                  <c:v>356</c:v>
                </c:pt>
                <c:pt idx="102">
                  <c:v>359</c:v>
                </c:pt>
                <c:pt idx="103">
                  <c:v>364</c:v>
                </c:pt>
                <c:pt idx="104">
                  <c:v>366</c:v>
                </c:pt>
                <c:pt idx="105">
                  <c:v>373</c:v>
                </c:pt>
                <c:pt idx="106">
                  <c:v>374</c:v>
                </c:pt>
                <c:pt idx="107">
                  <c:v>378</c:v>
                </c:pt>
                <c:pt idx="108">
                  <c:v>381</c:v>
                </c:pt>
                <c:pt idx="109">
                  <c:v>383</c:v>
                </c:pt>
                <c:pt idx="110">
                  <c:v>385</c:v>
                </c:pt>
                <c:pt idx="111">
                  <c:v>388</c:v>
                </c:pt>
                <c:pt idx="112">
                  <c:v>391</c:v>
                </c:pt>
                <c:pt idx="113">
                  <c:v>393</c:v>
                </c:pt>
                <c:pt idx="114">
                  <c:v>394</c:v>
                </c:pt>
                <c:pt idx="115">
                  <c:v>399</c:v>
                </c:pt>
                <c:pt idx="116">
                  <c:v>403</c:v>
                </c:pt>
                <c:pt idx="117">
                  <c:v>404</c:v>
                </c:pt>
                <c:pt idx="118">
                  <c:v>405</c:v>
                </c:pt>
                <c:pt idx="119">
                  <c:v>407</c:v>
                </c:pt>
                <c:pt idx="120">
                  <c:v>409</c:v>
                </c:pt>
                <c:pt idx="121">
                  <c:v>411</c:v>
                </c:pt>
                <c:pt idx="122">
                  <c:v>414</c:v>
                </c:pt>
                <c:pt idx="123">
                  <c:v>415</c:v>
                </c:pt>
                <c:pt idx="124">
                  <c:v>417</c:v>
                </c:pt>
                <c:pt idx="125">
                  <c:v>423</c:v>
                </c:pt>
                <c:pt idx="126">
                  <c:v>424</c:v>
                </c:pt>
                <c:pt idx="127">
                  <c:v>427</c:v>
                </c:pt>
                <c:pt idx="128">
                  <c:v>428</c:v>
                </c:pt>
                <c:pt idx="129">
                  <c:v>433</c:v>
                </c:pt>
                <c:pt idx="130">
                  <c:v>435</c:v>
                </c:pt>
                <c:pt idx="131">
                  <c:v>442</c:v>
                </c:pt>
                <c:pt idx="132">
                  <c:v>443</c:v>
                </c:pt>
                <c:pt idx="133">
                  <c:v>449</c:v>
                </c:pt>
                <c:pt idx="134">
                  <c:v>457</c:v>
                </c:pt>
                <c:pt idx="135">
                  <c:v>458</c:v>
                </c:pt>
                <c:pt idx="136">
                  <c:v>469</c:v>
                </c:pt>
                <c:pt idx="137">
                  <c:v>474</c:v>
                </c:pt>
                <c:pt idx="138">
                  <c:v>481</c:v>
                </c:pt>
                <c:pt idx="139">
                  <c:v>498</c:v>
                </c:pt>
                <c:pt idx="140">
                  <c:v>501</c:v>
                </c:pt>
                <c:pt idx="141">
                  <c:v>505</c:v>
                </c:pt>
                <c:pt idx="142">
                  <c:v>506</c:v>
                </c:pt>
                <c:pt idx="143">
                  <c:v>509</c:v>
                </c:pt>
                <c:pt idx="144">
                  <c:v>513</c:v>
                </c:pt>
                <c:pt idx="145">
                  <c:v>514</c:v>
                </c:pt>
                <c:pt idx="146">
                  <c:v>519</c:v>
                </c:pt>
                <c:pt idx="147">
                  <c:v>521</c:v>
                </c:pt>
                <c:pt idx="148">
                  <c:v>522</c:v>
                </c:pt>
                <c:pt idx="149">
                  <c:v>524</c:v>
                </c:pt>
                <c:pt idx="150">
                  <c:v>525</c:v>
                </c:pt>
                <c:pt idx="151">
                  <c:v>529</c:v>
                </c:pt>
                <c:pt idx="152">
                  <c:v>531</c:v>
                </c:pt>
                <c:pt idx="153">
                  <c:v>538</c:v>
                </c:pt>
                <c:pt idx="154">
                  <c:v>542</c:v>
                </c:pt>
                <c:pt idx="155">
                  <c:v>544</c:v>
                </c:pt>
                <c:pt idx="156">
                  <c:v>551</c:v>
                </c:pt>
                <c:pt idx="157">
                  <c:v>557</c:v>
                </c:pt>
                <c:pt idx="158">
                  <c:v>560</c:v>
                </c:pt>
                <c:pt idx="159">
                  <c:v>561</c:v>
                </c:pt>
                <c:pt idx="160">
                  <c:v>565</c:v>
                </c:pt>
                <c:pt idx="161">
                  <c:v>568</c:v>
                </c:pt>
                <c:pt idx="162">
                  <c:v>571</c:v>
                </c:pt>
                <c:pt idx="163">
                  <c:v>580</c:v>
                </c:pt>
                <c:pt idx="164">
                  <c:v>582</c:v>
                </c:pt>
                <c:pt idx="165">
                  <c:v>583</c:v>
                </c:pt>
                <c:pt idx="166">
                  <c:v>586</c:v>
                </c:pt>
                <c:pt idx="167">
                  <c:v>587</c:v>
                </c:pt>
                <c:pt idx="168">
                  <c:v>591</c:v>
                </c:pt>
                <c:pt idx="169">
                  <c:v>593</c:v>
                </c:pt>
                <c:pt idx="170">
                  <c:v>595</c:v>
                </c:pt>
                <c:pt idx="171">
                  <c:v>605</c:v>
                </c:pt>
                <c:pt idx="172">
                  <c:v>612</c:v>
                </c:pt>
                <c:pt idx="173">
                  <c:v>623</c:v>
                </c:pt>
                <c:pt idx="174">
                  <c:v>626</c:v>
                </c:pt>
                <c:pt idx="175">
                  <c:v>627</c:v>
                </c:pt>
                <c:pt idx="176">
                  <c:v>628</c:v>
                </c:pt>
                <c:pt idx="177">
                  <c:v>633</c:v>
                </c:pt>
                <c:pt idx="178">
                  <c:v>634</c:v>
                </c:pt>
                <c:pt idx="179">
                  <c:v>635</c:v>
                </c:pt>
                <c:pt idx="180">
                  <c:v>639</c:v>
                </c:pt>
                <c:pt idx="181">
                  <c:v>640</c:v>
                </c:pt>
                <c:pt idx="182">
                  <c:v>644</c:v>
                </c:pt>
                <c:pt idx="183">
                  <c:v>645</c:v>
                </c:pt>
                <c:pt idx="184">
                  <c:v>646</c:v>
                </c:pt>
                <c:pt idx="185">
                  <c:v>647</c:v>
                </c:pt>
                <c:pt idx="186">
                  <c:v>649</c:v>
                </c:pt>
                <c:pt idx="187">
                  <c:v>651</c:v>
                </c:pt>
                <c:pt idx="188">
                  <c:v>657</c:v>
                </c:pt>
                <c:pt idx="189">
                  <c:v>659</c:v>
                </c:pt>
                <c:pt idx="190">
                  <c:v>663</c:v>
                </c:pt>
                <c:pt idx="191">
                  <c:v>672</c:v>
                </c:pt>
                <c:pt idx="192">
                  <c:v>674</c:v>
                </c:pt>
                <c:pt idx="193">
                  <c:v>678</c:v>
                </c:pt>
                <c:pt idx="194">
                  <c:v>682</c:v>
                </c:pt>
                <c:pt idx="195">
                  <c:v>685</c:v>
                </c:pt>
                <c:pt idx="196">
                  <c:v>690</c:v>
                </c:pt>
                <c:pt idx="197">
                  <c:v>696</c:v>
                </c:pt>
                <c:pt idx="198">
                  <c:v>706</c:v>
                </c:pt>
                <c:pt idx="199">
                  <c:v>709</c:v>
                </c:pt>
                <c:pt idx="200">
                  <c:v>714</c:v>
                </c:pt>
                <c:pt idx="201">
                  <c:v>715</c:v>
                </c:pt>
                <c:pt idx="202">
                  <c:v>718</c:v>
                </c:pt>
                <c:pt idx="203">
                  <c:v>719</c:v>
                </c:pt>
                <c:pt idx="204">
                  <c:v>722</c:v>
                </c:pt>
                <c:pt idx="205">
                  <c:v>724</c:v>
                </c:pt>
                <c:pt idx="206">
                  <c:v>727</c:v>
                </c:pt>
                <c:pt idx="207">
                  <c:v>734</c:v>
                </c:pt>
                <c:pt idx="208">
                  <c:v>739</c:v>
                </c:pt>
                <c:pt idx="209">
                  <c:v>742</c:v>
                </c:pt>
                <c:pt idx="210">
                  <c:v>750</c:v>
                </c:pt>
                <c:pt idx="211">
                  <c:v>751</c:v>
                </c:pt>
                <c:pt idx="212">
                  <c:v>757</c:v>
                </c:pt>
                <c:pt idx="213">
                  <c:v>758</c:v>
                </c:pt>
                <c:pt idx="214">
                  <c:v>768</c:v>
                </c:pt>
                <c:pt idx="215">
                  <c:v>769</c:v>
                </c:pt>
                <c:pt idx="216">
                  <c:v>779</c:v>
                </c:pt>
                <c:pt idx="217">
                  <c:v>786</c:v>
                </c:pt>
                <c:pt idx="218">
                  <c:v>792</c:v>
                </c:pt>
                <c:pt idx="219">
                  <c:v>794</c:v>
                </c:pt>
                <c:pt idx="220">
                  <c:v>795</c:v>
                </c:pt>
                <c:pt idx="221">
                  <c:v>796</c:v>
                </c:pt>
                <c:pt idx="222">
                  <c:v>800</c:v>
                </c:pt>
                <c:pt idx="223">
                  <c:v>801</c:v>
                </c:pt>
                <c:pt idx="224">
                  <c:v>803</c:v>
                </c:pt>
                <c:pt idx="225">
                  <c:v>805</c:v>
                </c:pt>
                <c:pt idx="226">
                  <c:v>807</c:v>
                </c:pt>
                <c:pt idx="227">
                  <c:v>813</c:v>
                </c:pt>
                <c:pt idx="228">
                  <c:v>814</c:v>
                </c:pt>
                <c:pt idx="229">
                  <c:v>819</c:v>
                </c:pt>
                <c:pt idx="230">
                  <c:v>828</c:v>
                </c:pt>
                <c:pt idx="231">
                  <c:v>834</c:v>
                </c:pt>
                <c:pt idx="232">
                  <c:v>835</c:v>
                </c:pt>
                <c:pt idx="233">
                  <c:v>839</c:v>
                </c:pt>
                <c:pt idx="234">
                  <c:v>842</c:v>
                </c:pt>
                <c:pt idx="235">
                  <c:v>843</c:v>
                </c:pt>
                <c:pt idx="236">
                  <c:v>845</c:v>
                </c:pt>
                <c:pt idx="237">
                  <c:v>846</c:v>
                </c:pt>
                <c:pt idx="238">
                  <c:v>848</c:v>
                </c:pt>
              </c:numCache>
            </c:numRef>
          </c:xVal>
          <c:yVal>
            <c:numRef>
              <c:f>Charts!$N$286:$N$524</c:f>
              <c:numCache>
                <c:formatCode>0.00%</c:formatCode>
                <c:ptCount val="239"/>
                <c:pt idx="0">
                  <c:v>2.6315789473684209E-2</c:v>
                </c:pt>
                <c:pt idx="1">
                  <c:v>1.3333333333333334E-2</c:v>
                </c:pt>
                <c:pt idx="2">
                  <c:v>0</c:v>
                </c:pt>
                <c:pt idx="3">
                  <c:v>2.7777777777777776E-2</c:v>
                </c:pt>
                <c:pt idx="4">
                  <c:v>1.4492753623188406E-2</c:v>
                </c:pt>
                <c:pt idx="5">
                  <c:v>1.3157894736842105E-2</c:v>
                </c:pt>
                <c:pt idx="6">
                  <c:v>0</c:v>
                </c:pt>
                <c:pt idx="7">
                  <c:v>1.5503875968992248E-2</c:v>
                </c:pt>
                <c:pt idx="8">
                  <c:v>1.6949152542372881E-2</c:v>
                </c:pt>
                <c:pt idx="9">
                  <c:v>0</c:v>
                </c:pt>
                <c:pt idx="10">
                  <c:v>1.6129032258064516E-2</c:v>
                </c:pt>
                <c:pt idx="11">
                  <c:v>1.1363636363636364E-2</c:v>
                </c:pt>
                <c:pt idx="12">
                  <c:v>2.9166666666666667E-2</c:v>
                </c:pt>
                <c:pt idx="13">
                  <c:v>3.125E-2</c:v>
                </c:pt>
                <c:pt idx="14">
                  <c:v>7.9365079365079361E-3</c:v>
                </c:pt>
                <c:pt idx="15">
                  <c:v>3.2520325203252036E-2</c:v>
                </c:pt>
                <c:pt idx="16">
                  <c:v>0</c:v>
                </c:pt>
                <c:pt idx="17">
                  <c:v>3.1810294968189705E-2</c:v>
                </c:pt>
                <c:pt idx="18">
                  <c:v>2.7027027027027029E-2</c:v>
                </c:pt>
                <c:pt idx="19">
                  <c:v>0</c:v>
                </c:pt>
                <c:pt idx="20">
                  <c:v>0</c:v>
                </c:pt>
                <c:pt idx="21">
                  <c:v>0</c:v>
                </c:pt>
                <c:pt idx="22">
                  <c:v>2.2487593052109182E-2</c:v>
                </c:pt>
                <c:pt idx="23">
                  <c:v>8.1967213114754103E-3</c:v>
                </c:pt>
                <c:pt idx="24">
                  <c:v>1.4492753623188406E-2</c:v>
                </c:pt>
                <c:pt idx="25">
                  <c:v>2.0408163265306121E-2</c:v>
                </c:pt>
                <c:pt idx="26">
                  <c:v>1.9607843137254902E-2</c:v>
                </c:pt>
                <c:pt idx="27">
                  <c:v>2.8301886792452831E-2</c:v>
                </c:pt>
                <c:pt idx="28">
                  <c:v>2.8985507246376812E-2</c:v>
                </c:pt>
                <c:pt idx="29">
                  <c:v>3.4482758620689655E-2</c:v>
                </c:pt>
                <c:pt idx="30">
                  <c:v>2.9411764705882353E-2</c:v>
                </c:pt>
                <c:pt idx="31">
                  <c:v>1.1111111111111112E-2</c:v>
                </c:pt>
                <c:pt idx="32">
                  <c:v>4.7619047619047616E-2</c:v>
                </c:pt>
                <c:pt idx="33">
                  <c:v>1.4314768460575718E-2</c:v>
                </c:pt>
                <c:pt idx="34">
                  <c:v>2.564102564102564E-2</c:v>
                </c:pt>
                <c:pt idx="35">
                  <c:v>4.6052631578947366E-2</c:v>
                </c:pt>
                <c:pt idx="36">
                  <c:v>3.0303030303030304E-2</c:v>
                </c:pt>
                <c:pt idx="37">
                  <c:v>0</c:v>
                </c:pt>
                <c:pt idx="38">
                  <c:v>2.5157232704402517E-2</c:v>
                </c:pt>
                <c:pt idx="39">
                  <c:v>3.7037037037037035E-2</c:v>
                </c:pt>
                <c:pt idx="40">
                  <c:v>1.3904871499808208E-2</c:v>
                </c:pt>
                <c:pt idx="41">
                  <c:v>2.7397260273972601E-2</c:v>
                </c:pt>
                <c:pt idx="42">
                  <c:v>1.9736842105263157E-2</c:v>
                </c:pt>
                <c:pt idx="43">
                  <c:v>3.3707865168539325E-2</c:v>
                </c:pt>
                <c:pt idx="44">
                  <c:v>0</c:v>
                </c:pt>
                <c:pt idx="45">
                  <c:v>2.8169014084507043E-2</c:v>
                </c:pt>
                <c:pt idx="46">
                  <c:v>0</c:v>
                </c:pt>
                <c:pt idx="47">
                  <c:v>7.1428571428571426E-3</c:v>
                </c:pt>
                <c:pt idx="48">
                  <c:v>1.4705882352941176E-2</c:v>
                </c:pt>
                <c:pt idx="49">
                  <c:v>1.2500000000000001E-2</c:v>
                </c:pt>
                <c:pt idx="50">
                  <c:v>4.5161290322580643E-2</c:v>
                </c:pt>
                <c:pt idx="51">
                  <c:v>8.4745762711864406E-3</c:v>
                </c:pt>
                <c:pt idx="52">
                  <c:v>4.6296296296296294E-3</c:v>
                </c:pt>
                <c:pt idx="53">
                  <c:v>0.03</c:v>
                </c:pt>
                <c:pt idx="54">
                  <c:v>1.9867549668874173E-2</c:v>
                </c:pt>
                <c:pt idx="55">
                  <c:v>0</c:v>
                </c:pt>
                <c:pt idx="56">
                  <c:v>5.8139534883720929E-2</c:v>
                </c:pt>
                <c:pt idx="57">
                  <c:v>1.3333333333333334E-2</c:v>
                </c:pt>
                <c:pt idx="58">
                  <c:v>2.1739130434782608E-2</c:v>
                </c:pt>
                <c:pt idx="59">
                  <c:v>7.5783573552962707E-3</c:v>
                </c:pt>
                <c:pt idx="60">
                  <c:v>1.5625E-2</c:v>
                </c:pt>
                <c:pt idx="61">
                  <c:v>1.020408163265306E-2</c:v>
                </c:pt>
                <c:pt idx="62">
                  <c:v>4.2016806722689079E-2</c:v>
                </c:pt>
                <c:pt idx="63">
                  <c:v>0</c:v>
                </c:pt>
                <c:pt idx="64">
                  <c:v>1.3847910916531836E-2</c:v>
                </c:pt>
                <c:pt idx="65">
                  <c:v>0</c:v>
                </c:pt>
                <c:pt idx="66">
                  <c:v>1.3986013986013986E-2</c:v>
                </c:pt>
                <c:pt idx="67">
                  <c:v>1.6949152542372881E-2</c:v>
                </c:pt>
                <c:pt idx="68">
                  <c:v>0</c:v>
                </c:pt>
                <c:pt idx="69">
                  <c:v>3.4013605442176874E-2</c:v>
                </c:pt>
                <c:pt idx="70">
                  <c:v>8.8495575221238937E-3</c:v>
                </c:pt>
                <c:pt idx="71">
                  <c:v>2.2630992196209589E-2</c:v>
                </c:pt>
                <c:pt idx="72">
                  <c:v>1.0135135135135136E-2</c:v>
                </c:pt>
                <c:pt idx="73">
                  <c:v>0</c:v>
                </c:pt>
                <c:pt idx="74">
                  <c:v>2.8037383177570093E-2</c:v>
                </c:pt>
                <c:pt idx="75">
                  <c:v>6.25E-2</c:v>
                </c:pt>
                <c:pt idx="76">
                  <c:v>1.1111111111111112E-2</c:v>
                </c:pt>
                <c:pt idx="77">
                  <c:v>4.7619047619047616E-2</c:v>
                </c:pt>
                <c:pt idx="78">
                  <c:v>1.3605442176870748E-2</c:v>
                </c:pt>
                <c:pt idx="79">
                  <c:v>2.4793388429752067E-2</c:v>
                </c:pt>
                <c:pt idx="80">
                  <c:v>1.020408163265306E-2</c:v>
                </c:pt>
                <c:pt idx="81">
                  <c:v>1.7241379310344827E-2</c:v>
                </c:pt>
                <c:pt idx="82">
                  <c:v>0</c:v>
                </c:pt>
                <c:pt idx="83">
                  <c:v>2.1739130434782608E-2</c:v>
                </c:pt>
                <c:pt idx="84">
                  <c:v>2.4590163934426229E-2</c:v>
                </c:pt>
                <c:pt idx="85">
                  <c:v>2.0833333333333332E-2</c:v>
                </c:pt>
                <c:pt idx="86">
                  <c:v>8.4033613445378148E-3</c:v>
                </c:pt>
                <c:pt idx="87">
                  <c:v>1.8518518518518517E-2</c:v>
                </c:pt>
                <c:pt idx="88">
                  <c:v>4.878048780487805E-2</c:v>
                </c:pt>
                <c:pt idx="89">
                  <c:v>2.5316455696202531E-2</c:v>
                </c:pt>
                <c:pt idx="90">
                  <c:v>4.065040650406504E-2</c:v>
                </c:pt>
                <c:pt idx="91">
                  <c:v>4.3478260869565216E-2</c:v>
                </c:pt>
                <c:pt idx="92">
                  <c:v>2.2727272727272728E-2</c:v>
                </c:pt>
                <c:pt idx="93">
                  <c:v>2.4793388429752067E-2</c:v>
                </c:pt>
                <c:pt idx="94">
                  <c:v>1.1111111111111112E-2</c:v>
                </c:pt>
                <c:pt idx="95">
                  <c:v>1.73992673992674E-2</c:v>
                </c:pt>
                <c:pt idx="96">
                  <c:v>0</c:v>
                </c:pt>
                <c:pt idx="97">
                  <c:v>4.6296296296296294E-3</c:v>
                </c:pt>
                <c:pt idx="98">
                  <c:v>9.6153846153846159E-3</c:v>
                </c:pt>
                <c:pt idx="99">
                  <c:v>0</c:v>
                </c:pt>
                <c:pt idx="100">
                  <c:v>0</c:v>
                </c:pt>
                <c:pt idx="101">
                  <c:v>4.3478260869565216E-2</c:v>
                </c:pt>
                <c:pt idx="102">
                  <c:v>4.0816326530612242E-2</c:v>
                </c:pt>
                <c:pt idx="103">
                  <c:v>8.130081300813009E-3</c:v>
                </c:pt>
                <c:pt idx="104">
                  <c:v>0</c:v>
                </c:pt>
                <c:pt idx="105">
                  <c:v>1.5151515151515152E-2</c:v>
                </c:pt>
                <c:pt idx="106">
                  <c:v>0</c:v>
                </c:pt>
                <c:pt idx="107">
                  <c:v>3.1007751937984496E-2</c:v>
                </c:pt>
                <c:pt idx="108">
                  <c:v>2.7352607709750565E-2</c:v>
                </c:pt>
                <c:pt idx="109">
                  <c:v>0</c:v>
                </c:pt>
                <c:pt idx="110">
                  <c:v>2.9204880332699881E-2</c:v>
                </c:pt>
                <c:pt idx="111">
                  <c:v>1.5625E-2</c:v>
                </c:pt>
                <c:pt idx="112">
                  <c:v>3.125E-2</c:v>
                </c:pt>
                <c:pt idx="113">
                  <c:v>1.1627906976744186E-2</c:v>
                </c:pt>
                <c:pt idx="114">
                  <c:v>2.0134228187919462E-2</c:v>
                </c:pt>
                <c:pt idx="115">
                  <c:v>0</c:v>
                </c:pt>
                <c:pt idx="116">
                  <c:v>1.0752688172043012E-2</c:v>
                </c:pt>
                <c:pt idx="117">
                  <c:v>1.5384615384615385E-2</c:v>
                </c:pt>
                <c:pt idx="118">
                  <c:v>4.1666666666666664E-2</c:v>
                </c:pt>
                <c:pt idx="119">
                  <c:v>0</c:v>
                </c:pt>
                <c:pt idx="120">
                  <c:v>0.04</c:v>
                </c:pt>
                <c:pt idx="121">
                  <c:v>2.6666666666666668E-2</c:v>
                </c:pt>
                <c:pt idx="122">
                  <c:v>4.4117647058823532E-2</c:v>
                </c:pt>
                <c:pt idx="123">
                  <c:v>2.4758454106280192E-2</c:v>
                </c:pt>
                <c:pt idx="124">
                  <c:v>2.2900763358778626E-2</c:v>
                </c:pt>
                <c:pt idx="125">
                  <c:v>1.3710171568627451E-2</c:v>
                </c:pt>
                <c:pt idx="126">
                  <c:v>2.3809523809523808E-2</c:v>
                </c:pt>
                <c:pt idx="127">
                  <c:v>3.6045997346306945E-2</c:v>
                </c:pt>
                <c:pt idx="128">
                  <c:v>2.1749408983451537E-2</c:v>
                </c:pt>
                <c:pt idx="129">
                  <c:v>1.9230769230769232E-2</c:v>
                </c:pt>
                <c:pt idx="130">
                  <c:v>9.9009900990099011E-3</c:v>
                </c:pt>
                <c:pt idx="131">
                  <c:v>1.1764705882352941E-2</c:v>
                </c:pt>
                <c:pt idx="132">
                  <c:v>1.3333333333333334E-2</c:v>
                </c:pt>
                <c:pt idx="133">
                  <c:v>2.6237276237276237E-2</c:v>
                </c:pt>
                <c:pt idx="134">
                  <c:v>3.8461538461538464E-2</c:v>
                </c:pt>
                <c:pt idx="135">
                  <c:v>2.564102564102564E-2</c:v>
                </c:pt>
                <c:pt idx="136">
                  <c:v>2.564102564102564E-2</c:v>
                </c:pt>
                <c:pt idx="137">
                  <c:v>3.5714285714285712E-2</c:v>
                </c:pt>
                <c:pt idx="138">
                  <c:v>1.4084507042253521E-2</c:v>
                </c:pt>
                <c:pt idx="139">
                  <c:v>1.4492753623188406E-2</c:v>
                </c:pt>
                <c:pt idx="140">
                  <c:v>0</c:v>
                </c:pt>
                <c:pt idx="141">
                  <c:v>0</c:v>
                </c:pt>
                <c:pt idx="142">
                  <c:v>2.551622418879056E-2</c:v>
                </c:pt>
                <c:pt idx="143">
                  <c:v>2.9850746268656716E-2</c:v>
                </c:pt>
                <c:pt idx="144">
                  <c:v>3.1746031746031744E-2</c:v>
                </c:pt>
                <c:pt idx="145">
                  <c:v>1.5267175572519083E-2</c:v>
                </c:pt>
                <c:pt idx="146">
                  <c:v>2.5000000000000001E-2</c:v>
                </c:pt>
                <c:pt idx="147">
                  <c:v>2.6527979358168037E-2</c:v>
                </c:pt>
                <c:pt idx="148">
                  <c:v>2.797270955165692E-2</c:v>
                </c:pt>
                <c:pt idx="149">
                  <c:v>5.3846153846153849E-2</c:v>
                </c:pt>
                <c:pt idx="150">
                  <c:v>3.8461538461538464E-2</c:v>
                </c:pt>
                <c:pt idx="151">
                  <c:v>0</c:v>
                </c:pt>
                <c:pt idx="152">
                  <c:v>2.9411764705882353E-2</c:v>
                </c:pt>
                <c:pt idx="153">
                  <c:v>1.2903225806451613E-2</c:v>
                </c:pt>
                <c:pt idx="154">
                  <c:v>3.3898305084745763E-2</c:v>
                </c:pt>
                <c:pt idx="155">
                  <c:v>2.5062656641604009E-2</c:v>
                </c:pt>
                <c:pt idx="156">
                  <c:v>0</c:v>
                </c:pt>
                <c:pt idx="157">
                  <c:v>0</c:v>
                </c:pt>
                <c:pt idx="158">
                  <c:v>0</c:v>
                </c:pt>
                <c:pt idx="159">
                  <c:v>0</c:v>
                </c:pt>
                <c:pt idx="160">
                  <c:v>0</c:v>
                </c:pt>
                <c:pt idx="161">
                  <c:v>0</c:v>
                </c:pt>
                <c:pt idx="162">
                  <c:v>6.41025641025641E-3</c:v>
                </c:pt>
                <c:pt idx="163">
                  <c:v>8.9285714285714281E-3</c:v>
                </c:pt>
                <c:pt idx="164">
                  <c:v>2.4865591397849461E-2</c:v>
                </c:pt>
                <c:pt idx="165">
                  <c:v>0</c:v>
                </c:pt>
                <c:pt idx="166">
                  <c:v>0</c:v>
                </c:pt>
                <c:pt idx="167">
                  <c:v>3.1746031746031744E-2</c:v>
                </c:pt>
                <c:pt idx="168">
                  <c:v>1.8181818181818181E-2</c:v>
                </c:pt>
                <c:pt idx="169">
                  <c:v>1.834862385321101E-2</c:v>
                </c:pt>
                <c:pt idx="170">
                  <c:v>2.0002000200020003E-2</c:v>
                </c:pt>
                <c:pt idx="171">
                  <c:v>3.7735849056603772E-2</c:v>
                </c:pt>
                <c:pt idx="172">
                  <c:v>2.2222222222222223E-2</c:v>
                </c:pt>
                <c:pt idx="173">
                  <c:v>3.7499999999999999E-2</c:v>
                </c:pt>
                <c:pt idx="174">
                  <c:v>1.834862385321101E-2</c:v>
                </c:pt>
                <c:pt idx="175">
                  <c:v>0</c:v>
                </c:pt>
                <c:pt idx="176">
                  <c:v>1.1627906976744186E-2</c:v>
                </c:pt>
                <c:pt idx="177">
                  <c:v>2.9411764705882353E-2</c:v>
                </c:pt>
                <c:pt idx="178">
                  <c:v>1.8055555555555554E-2</c:v>
                </c:pt>
                <c:pt idx="179">
                  <c:v>2.1739130434782608E-2</c:v>
                </c:pt>
                <c:pt idx="180">
                  <c:v>2.5799222690812865E-2</c:v>
                </c:pt>
                <c:pt idx="181">
                  <c:v>2.0408163265306121E-2</c:v>
                </c:pt>
                <c:pt idx="182">
                  <c:v>0</c:v>
                </c:pt>
                <c:pt idx="183">
                  <c:v>1.0309278350515464E-2</c:v>
                </c:pt>
                <c:pt idx="184">
                  <c:v>3.1914893617021274E-2</c:v>
                </c:pt>
                <c:pt idx="185">
                  <c:v>1.4705882352941176E-2</c:v>
                </c:pt>
                <c:pt idx="186">
                  <c:v>0</c:v>
                </c:pt>
                <c:pt idx="187">
                  <c:v>3.125E-2</c:v>
                </c:pt>
                <c:pt idx="188">
                  <c:v>1.5873015873015872E-2</c:v>
                </c:pt>
                <c:pt idx="189">
                  <c:v>0</c:v>
                </c:pt>
                <c:pt idx="190">
                  <c:v>3.9215686274509803E-2</c:v>
                </c:pt>
                <c:pt idx="191">
                  <c:v>3.007518796992481E-2</c:v>
                </c:pt>
                <c:pt idx="192">
                  <c:v>1.1904761904761904E-2</c:v>
                </c:pt>
                <c:pt idx="193">
                  <c:v>6.7567567567567571E-3</c:v>
                </c:pt>
                <c:pt idx="194">
                  <c:v>1.1363636363636364E-2</c:v>
                </c:pt>
                <c:pt idx="195">
                  <c:v>0</c:v>
                </c:pt>
                <c:pt idx="196">
                  <c:v>1.7241379310344827E-2</c:v>
                </c:pt>
                <c:pt idx="197">
                  <c:v>2.3416287196865403E-2</c:v>
                </c:pt>
                <c:pt idx="198">
                  <c:v>2.5000000000000001E-2</c:v>
                </c:pt>
                <c:pt idx="199">
                  <c:v>4.5454545454545456E-2</c:v>
                </c:pt>
                <c:pt idx="200">
                  <c:v>7.246376811594203E-3</c:v>
                </c:pt>
                <c:pt idx="201">
                  <c:v>2.7027027027027029E-2</c:v>
                </c:pt>
                <c:pt idx="202">
                  <c:v>5.0847457627118647E-2</c:v>
                </c:pt>
                <c:pt idx="203">
                  <c:v>3.4188034188034191E-2</c:v>
                </c:pt>
                <c:pt idx="204">
                  <c:v>4.195804195804196E-2</c:v>
                </c:pt>
                <c:pt idx="205">
                  <c:v>3.5714285714285712E-2</c:v>
                </c:pt>
                <c:pt idx="206">
                  <c:v>6.993006993006993E-3</c:v>
                </c:pt>
                <c:pt idx="207">
                  <c:v>0</c:v>
                </c:pt>
                <c:pt idx="208">
                  <c:v>3.125E-2</c:v>
                </c:pt>
                <c:pt idx="209">
                  <c:v>3.125E-2</c:v>
                </c:pt>
                <c:pt idx="210">
                  <c:v>4.3478260869565216E-2</c:v>
                </c:pt>
                <c:pt idx="211">
                  <c:v>2.2505857688987541E-2</c:v>
                </c:pt>
                <c:pt idx="212">
                  <c:v>1.4285714285714285E-2</c:v>
                </c:pt>
                <c:pt idx="213">
                  <c:v>2.1897810218978103E-2</c:v>
                </c:pt>
                <c:pt idx="214">
                  <c:v>2.3255813953488372E-2</c:v>
                </c:pt>
                <c:pt idx="215">
                  <c:v>0</c:v>
                </c:pt>
                <c:pt idx="216">
                  <c:v>3.1746031746031744E-2</c:v>
                </c:pt>
                <c:pt idx="217">
                  <c:v>7.0422535211267607E-3</c:v>
                </c:pt>
                <c:pt idx="218">
                  <c:v>2.3255813953488372E-2</c:v>
                </c:pt>
                <c:pt idx="219">
                  <c:v>1.1235955056179775E-2</c:v>
                </c:pt>
                <c:pt idx="220">
                  <c:v>3.125E-2</c:v>
                </c:pt>
                <c:pt idx="221">
                  <c:v>0</c:v>
                </c:pt>
                <c:pt idx="222">
                  <c:v>3.7974683544303799E-2</c:v>
                </c:pt>
                <c:pt idx="223">
                  <c:v>0</c:v>
                </c:pt>
                <c:pt idx="224">
                  <c:v>1.0309278350515464E-2</c:v>
                </c:pt>
                <c:pt idx="225">
                  <c:v>2.4590163934426229E-2</c:v>
                </c:pt>
                <c:pt idx="226">
                  <c:v>0</c:v>
                </c:pt>
                <c:pt idx="227">
                  <c:v>3.2981875217845937E-2</c:v>
                </c:pt>
                <c:pt idx="228">
                  <c:v>1.6949152542372881E-2</c:v>
                </c:pt>
                <c:pt idx="229">
                  <c:v>2.1276595744680851E-2</c:v>
                </c:pt>
                <c:pt idx="230">
                  <c:v>1.1029411764705883E-2</c:v>
                </c:pt>
                <c:pt idx="231">
                  <c:v>7.3529411764705881E-3</c:v>
                </c:pt>
                <c:pt idx="232">
                  <c:v>1.7857142857142856E-2</c:v>
                </c:pt>
                <c:pt idx="233">
                  <c:v>1.5384615384615385E-2</c:v>
                </c:pt>
                <c:pt idx="234">
                  <c:v>1.0869565217391304E-2</c:v>
                </c:pt>
                <c:pt idx="235">
                  <c:v>3.7006802721088437E-2</c:v>
                </c:pt>
                <c:pt idx="236">
                  <c:v>2.8037383177570093E-2</c:v>
                </c:pt>
                <c:pt idx="237">
                  <c:v>3.7313432835820892E-2</c:v>
                </c:pt>
                <c:pt idx="238">
                  <c:v>3.2258064516129031E-2</c:v>
                </c:pt>
              </c:numCache>
            </c:numRef>
          </c:yVal>
          <c:smooth val="0"/>
          <c:extLst>
            <c:ext xmlns:c16="http://schemas.microsoft.com/office/drawing/2014/chart" uri="{C3380CC4-5D6E-409C-BE32-E72D297353CC}">
              <c16:uniqueId val="{00000000-4C15-4C47-974B-80CF7948A3F5}"/>
            </c:ext>
          </c:extLst>
        </c:ser>
        <c:dLbls>
          <c:showLegendKey val="0"/>
          <c:showVal val="0"/>
          <c:showCatName val="0"/>
          <c:showSerName val="0"/>
          <c:showPercent val="0"/>
          <c:showBubbleSize val="0"/>
        </c:dLbls>
        <c:axId val="652609760"/>
        <c:axId val="652603280"/>
      </c:scatterChart>
      <c:valAx>
        <c:axId val="652609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2603280"/>
        <c:crosses val="autoZero"/>
        <c:crossBetween val="midCat"/>
      </c:valAx>
      <c:valAx>
        <c:axId val="6526032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Damage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2609760"/>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[Olimage Mock Logistics Operation.xlsx]Charts!PivotTable24</c:name>
    <c:fmtId val="13"/>
  </c:pivotSource>
  <c:chart>
    <c:autoTitleDeleted val="0"/>
    <c:pivotFmts>
      <c:pivotFmt>
        <c:idx val="0"/>
        <c:spPr>
          <a:solidFill>
            <a:srgbClr val="113F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13F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B30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29A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61001749781276"/>
          <c:y val="5.0925925925925923E-2"/>
          <c:w val="0.71606973096356319"/>
          <c:h val="0.85712260968196663"/>
        </c:manualLayout>
      </c:layout>
      <c:barChart>
        <c:barDir val="bar"/>
        <c:grouping val="percentStacked"/>
        <c:varyColors val="0"/>
        <c:ser>
          <c:idx val="0"/>
          <c:order val="0"/>
          <c:tx>
            <c:strRef>
              <c:f>Charts!$B$44</c:f>
              <c:strCache>
                <c:ptCount val="1"/>
                <c:pt idx="0">
                  <c:v>Count of Units_Shipped</c:v>
                </c:pt>
              </c:strCache>
            </c:strRef>
          </c:tx>
          <c:spPr>
            <a:solidFill>
              <a:srgbClr val="0B302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Charts!$A$45:$A$53</c:f>
              <c:strCache>
                <c:ptCount val="8"/>
                <c:pt idx="0">
                  <c:v>Monitoring Equipment</c:v>
                </c:pt>
                <c:pt idx="1">
                  <c:v>Cables &amp; Protection</c:v>
                </c:pt>
                <c:pt idx="2">
                  <c:v>Hybrid Inverters</c:v>
                </c:pt>
                <c:pt idx="3">
                  <c:v>Transformers</c:v>
                </c:pt>
                <c:pt idx="4">
                  <c:v>Lithium Batteries</c:v>
                </c:pt>
                <c:pt idx="5">
                  <c:v>Solar Water Pump</c:v>
                </c:pt>
                <c:pt idx="6">
                  <c:v>Solar Panels</c:v>
                </c:pt>
                <c:pt idx="7">
                  <c:v>Mounting Structures</c:v>
                </c:pt>
              </c:strCache>
            </c:strRef>
          </c:cat>
          <c:val>
            <c:numRef>
              <c:f>Charts!$B$45:$B$53</c:f>
              <c:numCache>
                <c:formatCode>0</c:formatCode>
                <c:ptCount val="8"/>
                <c:pt idx="0">
                  <c:v>33</c:v>
                </c:pt>
                <c:pt idx="1">
                  <c:v>41</c:v>
                </c:pt>
                <c:pt idx="2">
                  <c:v>42</c:v>
                </c:pt>
                <c:pt idx="3">
                  <c:v>27</c:v>
                </c:pt>
                <c:pt idx="4">
                  <c:v>41</c:v>
                </c:pt>
                <c:pt idx="5">
                  <c:v>32</c:v>
                </c:pt>
                <c:pt idx="6">
                  <c:v>43</c:v>
                </c:pt>
                <c:pt idx="7">
                  <c:v>41</c:v>
                </c:pt>
              </c:numCache>
            </c:numRef>
          </c:val>
          <c:extLst>
            <c:ext xmlns:c16="http://schemas.microsoft.com/office/drawing/2014/chart" uri="{C3380CC4-5D6E-409C-BE32-E72D297353CC}">
              <c16:uniqueId val="{00000000-C156-495F-BC5C-F4578FFB67C3}"/>
            </c:ext>
          </c:extLst>
        </c:ser>
        <c:ser>
          <c:idx val="1"/>
          <c:order val="1"/>
          <c:tx>
            <c:strRef>
              <c:f>Charts!$C$44</c:f>
              <c:strCache>
                <c:ptCount val="1"/>
                <c:pt idx="0">
                  <c:v>Average of Damage_Rate</c:v>
                </c:pt>
              </c:strCache>
            </c:strRef>
          </c:tx>
          <c:spPr>
            <a:solidFill>
              <a:srgbClr val="C29A2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Charts!$A$45:$A$53</c:f>
              <c:strCache>
                <c:ptCount val="8"/>
                <c:pt idx="0">
                  <c:v>Monitoring Equipment</c:v>
                </c:pt>
                <c:pt idx="1">
                  <c:v>Cables &amp; Protection</c:v>
                </c:pt>
                <c:pt idx="2">
                  <c:v>Hybrid Inverters</c:v>
                </c:pt>
                <c:pt idx="3">
                  <c:v>Transformers</c:v>
                </c:pt>
                <c:pt idx="4">
                  <c:v>Lithium Batteries</c:v>
                </c:pt>
                <c:pt idx="5">
                  <c:v>Solar Water Pump</c:v>
                </c:pt>
                <c:pt idx="6">
                  <c:v>Solar Panels</c:v>
                </c:pt>
                <c:pt idx="7">
                  <c:v>Mounting Structures</c:v>
                </c:pt>
              </c:strCache>
            </c:strRef>
          </c:cat>
          <c:val>
            <c:numRef>
              <c:f>Charts!$C$45:$C$53</c:f>
              <c:numCache>
                <c:formatCode>0.00%</c:formatCode>
                <c:ptCount val="8"/>
                <c:pt idx="0">
                  <c:v>2.2340758908262169E-2</c:v>
                </c:pt>
                <c:pt idx="1">
                  <c:v>2.1000619794122329E-2</c:v>
                </c:pt>
                <c:pt idx="2">
                  <c:v>2.0736006457634789E-2</c:v>
                </c:pt>
                <c:pt idx="3">
                  <c:v>1.99743301246256E-2</c:v>
                </c:pt>
                <c:pt idx="4">
                  <c:v>1.8484111587629876E-2</c:v>
                </c:pt>
                <c:pt idx="5">
                  <c:v>1.8045876686908321E-2</c:v>
                </c:pt>
                <c:pt idx="6">
                  <c:v>1.6107636443472281E-2</c:v>
                </c:pt>
                <c:pt idx="7">
                  <c:v>1.557260856522754E-2</c:v>
                </c:pt>
              </c:numCache>
            </c:numRef>
          </c:val>
          <c:extLst>
            <c:ext xmlns:c16="http://schemas.microsoft.com/office/drawing/2014/chart" uri="{C3380CC4-5D6E-409C-BE32-E72D297353CC}">
              <c16:uniqueId val="{00000001-C156-495F-BC5C-F4578FFB67C3}"/>
            </c:ext>
          </c:extLst>
        </c:ser>
        <c:dLbls>
          <c:showLegendKey val="0"/>
          <c:showVal val="0"/>
          <c:showCatName val="0"/>
          <c:showSerName val="0"/>
          <c:showPercent val="0"/>
          <c:showBubbleSize val="0"/>
        </c:dLbls>
        <c:gapWidth val="74"/>
        <c:overlap val="100"/>
        <c:axId val="689319704"/>
        <c:axId val="689321504"/>
      </c:barChart>
      <c:catAx>
        <c:axId val="68931970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9321504"/>
        <c:crosses val="autoZero"/>
        <c:auto val="1"/>
        <c:lblAlgn val="ctr"/>
        <c:lblOffset val="100"/>
        <c:noMultiLvlLbl val="0"/>
      </c:catAx>
      <c:valAx>
        <c:axId val="689321504"/>
        <c:scaling>
          <c:orientation val="minMax"/>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rgbClr val="0B3022"/>
                    </a:solidFill>
                  </a:rPr>
                  <a:t>Units Shipped</a:t>
                </a:r>
                <a:r>
                  <a:rPr lang="en-US">
                    <a:solidFill>
                      <a:schemeClr val="tx1"/>
                    </a:solidFill>
                  </a:rPr>
                  <a:t> | </a:t>
                </a:r>
                <a:r>
                  <a:rPr lang="en-US">
                    <a:solidFill>
                      <a:srgbClr val="C29A2B"/>
                    </a:solidFill>
                  </a:rPr>
                  <a:t>Average Damage Rate</a:t>
                </a:r>
              </a:p>
            </c:rich>
          </c:tx>
          <c:layout>
            <c:manualLayout>
              <c:xMode val="edge"/>
              <c:yMode val="edge"/>
              <c:x val="0.36754947942531963"/>
              <c:y val="0.917948347285141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689319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82A74B57-DFE8-48B7-9B8F-6F37A082DDB5}">
          <cx:tx>
            <cx:txData>
              <cx:f>_xlchart.v2.1</cx:f>
              <cx:v>Average of Delay_Days</cx:v>
            </cx:txData>
          </cx:tx>
          <cx:spPr>
            <a:solidFill>
              <a:srgbClr val="0B3022"/>
            </a:solidFill>
          </cx:spPr>
          <cx:dataLabels>
            <cx:visibility seriesName="0" categoryName="0" value="1"/>
          </cx:dataLabels>
          <cx:dataId val="0"/>
        </cx:series>
      </cx:plotAreaRegion>
      <cx:axis id="0">
        <cx:catScaling gapWidth="0.129999995"/>
        <cx:tickLabels/>
        <cx:spPr>
          <a:ln>
            <a:noFill/>
          </a:ln>
        </cx:spP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B0893923-E0E1-419A-8226-C154CB6D8C7B}">
          <cx:dataPt idx="0">
            <cx:spPr>
              <a:solidFill>
                <a:srgbClr val="C29A2B"/>
              </a:solidFill>
            </cx:spPr>
          </cx:dataPt>
          <cx:dataPt idx="1">
            <cx:spPr>
              <a:solidFill>
                <a:srgbClr val="E8E8E8">
                  <a:lumMod val="75000"/>
                </a:srgbClr>
              </a:solidFill>
            </cx:spPr>
          </cx:dataPt>
          <cx:dataPt idx="2">
            <cx:spPr>
              <a:solidFill>
                <a:srgbClr val="E8E8E8">
                  <a:lumMod val="75000"/>
                </a:srgbClr>
              </a:solidFill>
            </cx:spPr>
          </cx:dataPt>
          <cx:dataPt idx="3">
            <cx:spPr>
              <a:solidFill>
                <a:srgbClr val="E8E8E8">
                  <a:lumMod val="75000"/>
                </a:srgbClr>
              </a:solidFill>
            </cx:spPr>
          </cx:dataPt>
          <cx:dataPt idx="4">
            <cx:spPr>
              <a:solidFill>
                <a:srgbClr val="E8E8E8">
                  <a:lumMod val="75000"/>
                </a:srgbClr>
              </a:solidFill>
            </cx:spPr>
          </cx:dataPt>
          <cx:dataLabels>
            <cx:visibility seriesName="0" categoryName="0" value="1"/>
          </cx:dataLabels>
          <cx:dataId val="0"/>
        </cx:series>
      </cx:plotAreaRegion>
      <cx:axis id="0">
        <cx:catScaling gapWidth="0.129999995"/>
        <cx:tickLabels/>
        <cx:spPr>
          <a:ln>
            <a:noFill/>
          </a:ln>
        </cx:spP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4.xml"/><Relationship Id="rId18" Type="http://schemas.openxmlformats.org/officeDocument/2006/relationships/chart" Target="../charts/chart9.xml"/><Relationship Id="rId3" Type="http://schemas.openxmlformats.org/officeDocument/2006/relationships/image" Target="../media/image2.png"/><Relationship Id="rId21" Type="http://schemas.openxmlformats.org/officeDocument/2006/relationships/chart" Target="../charts/chart10.xml"/><Relationship Id="rId7" Type="http://schemas.openxmlformats.org/officeDocument/2006/relationships/image" Target="../media/image5.png"/><Relationship Id="rId12" Type="http://schemas.openxmlformats.org/officeDocument/2006/relationships/image" Target="../media/image10.png"/><Relationship Id="rId17" Type="http://schemas.openxmlformats.org/officeDocument/2006/relationships/chart" Target="../charts/chart8.xml"/><Relationship Id="rId2" Type="http://schemas.openxmlformats.org/officeDocument/2006/relationships/hyperlink" Target="https://www.flaticon.com/" TargetMode="External"/><Relationship Id="rId16" Type="http://schemas.openxmlformats.org/officeDocument/2006/relationships/chart" Target="../charts/chart7.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chart" Target="../charts/chart6.xml"/><Relationship Id="rId23" Type="http://schemas.openxmlformats.org/officeDocument/2006/relationships/image" Target="../media/image12.png"/><Relationship Id="rId10" Type="http://schemas.openxmlformats.org/officeDocument/2006/relationships/image" Target="../media/image8.svg"/><Relationship Id="rId19" Type="http://schemas.microsoft.com/office/2014/relationships/chartEx" Target="../charts/chartEx1.xml"/><Relationship Id="rId4" Type="http://schemas.openxmlformats.org/officeDocument/2006/relationships/hyperlink" Target="https://twitter.com/flaticon" TargetMode="External"/><Relationship Id="rId9" Type="http://schemas.openxmlformats.org/officeDocument/2006/relationships/image" Target="../media/image7.png"/><Relationship Id="rId14" Type="http://schemas.openxmlformats.org/officeDocument/2006/relationships/chart" Target="../charts/chart5.xml"/><Relationship Id="rId22"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219076</xdr:colOff>
      <xdr:row>1</xdr:row>
      <xdr:rowOff>28575</xdr:rowOff>
    </xdr:from>
    <xdr:to>
      <xdr:col>9</xdr:col>
      <xdr:colOff>485776</xdr:colOff>
      <xdr:row>26</xdr:row>
      <xdr:rowOff>142875</xdr:rowOff>
    </xdr:to>
    <xdr:sp macro="" textlink="">
      <xdr:nvSpPr>
        <xdr:cNvPr id="2" name="Rectangle 1">
          <a:extLst>
            <a:ext uri="{FF2B5EF4-FFF2-40B4-BE49-F238E27FC236}">
              <a16:creationId xmlns:a16="http://schemas.microsoft.com/office/drawing/2014/main" id="{2C2F544A-12AB-1050-039C-D1C11F3DFE13}"/>
            </a:ext>
          </a:extLst>
        </xdr:cNvPr>
        <xdr:cNvSpPr/>
      </xdr:nvSpPr>
      <xdr:spPr>
        <a:xfrm>
          <a:off x="219076" y="219075"/>
          <a:ext cx="5753100" cy="487680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514350</xdr:colOff>
      <xdr:row>2</xdr:row>
      <xdr:rowOff>0</xdr:rowOff>
    </xdr:from>
    <xdr:to>
      <xdr:col>6</xdr:col>
      <xdr:colOff>485775</xdr:colOff>
      <xdr:row>4</xdr:row>
      <xdr:rowOff>3291</xdr:rowOff>
    </xdr:to>
    <xdr:sp macro="" textlink="">
      <xdr:nvSpPr>
        <xdr:cNvPr id="4" name="TextBox 3">
          <a:extLst>
            <a:ext uri="{FF2B5EF4-FFF2-40B4-BE49-F238E27FC236}">
              <a16:creationId xmlns:a16="http://schemas.microsoft.com/office/drawing/2014/main" id="{20652F00-8BD4-BDFE-1F85-30E21CF4B97D}"/>
            </a:ext>
          </a:extLst>
        </xdr:cNvPr>
        <xdr:cNvSpPr txBox="1"/>
      </xdr:nvSpPr>
      <xdr:spPr>
        <a:xfrm>
          <a:off x="1733550" y="381000"/>
          <a:ext cx="2409825" cy="3842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Project Split</a:t>
          </a:r>
        </a:p>
      </xdr:txBody>
    </xdr:sp>
    <xdr:clientData/>
  </xdr:twoCellAnchor>
  <xdr:twoCellAnchor>
    <xdr:from>
      <xdr:col>0</xdr:col>
      <xdr:colOff>323851</xdr:colOff>
      <xdr:row>3</xdr:row>
      <xdr:rowOff>114300</xdr:rowOff>
    </xdr:from>
    <xdr:to>
      <xdr:col>3</xdr:col>
      <xdr:colOff>38101</xdr:colOff>
      <xdr:row>5</xdr:row>
      <xdr:rowOff>9525</xdr:rowOff>
    </xdr:to>
    <xdr:sp macro="" textlink="">
      <xdr:nvSpPr>
        <xdr:cNvPr id="5" name="TextBox 4">
          <a:extLst>
            <a:ext uri="{FF2B5EF4-FFF2-40B4-BE49-F238E27FC236}">
              <a16:creationId xmlns:a16="http://schemas.microsoft.com/office/drawing/2014/main" id="{60FBCFA5-A57C-A4B8-9C3A-71D185DCBA28}"/>
            </a:ext>
          </a:extLst>
        </xdr:cNvPr>
        <xdr:cNvSpPr txBox="1"/>
      </xdr:nvSpPr>
      <xdr:spPr>
        <a:xfrm>
          <a:off x="323851" y="685800"/>
          <a:ext cx="15430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Dependent</a:t>
          </a:r>
          <a:r>
            <a:rPr lang="en-US" sz="1100" b="1" baseline="0"/>
            <a:t> Variables</a:t>
          </a:r>
          <a:endParaRPr lang="en-US" sz="1100" b="1"/>
        </a:p>
      </xdr:txBody>
    </xdr:sp>
    <xdr:clientData/>
  </xdr:twoCellAnchor>
  <xdr:twoCellAnchor>
    <xdr:from>
      <xdr:col>0</xdr:col>
      <xdr:colOff>285751</xdr:colOff>
      <xdr:row>5</xdr:row>
      <xdr:rowOff>28575</xdr:rowOff>
    </xdr:from>
    <xdr:to>
      <xdr:col>3</xdr:col>
      <xdr:colOff>457201</xdr:colOff>
      <xdr:row>15</xdr:row>
      <xdr:rowOff>152400</xdr:rowOff>
    </xdr:to>
    <xdr:sp macro="" textlink="">
      <xdr:nvSpPr>
        <xdr:cNvPr id="6" name="TextBox 5">
          <a:extLst>
            <a:ext uri="{FF2B5EF4-FFF2-40B4-BE49-F238E27FC236}">
              <a16:creationId xmlns:a16="http://schemas.microsoft.com/office/drawing/2014/main" id="{B86554B0-1A35-8CE5-3590-A57774AF9315}"/>
            </a:ext>
          </a:extLst>
        </xdr:cNvPr>
        <xdr:cNvSpPr txBox="1"/>
      </xdr:nvSpPr>
      <xdr:spPr>
        <a:xfrm>
          <a:off x="285751" y="981075"/>
          <a:ext cx="2000250" cy="2028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0"/>
            <a:t>1.</a:t>
          </a:r>
          <a:r>
            <a:rPr lang="en-US" sz="1000" b="0" baseline="0"/>
            <a:t> Units Shipped</a:t>
          </a:r>
        </a:p>
        <a:p>
          <a:pPr algn="l"/>
          <a:r>
            <a:rPr lang="en-US" sz="1000" b="0" baseline="0"/>
            <a:t>2. Units Received</a:t>
          </a:r>
        </a:p>
        <a:p>
          <a:pPr algn="l"/>
          <a:r>
            <a:rPr lang="en-US" sz="1000" b="0" baseline="0"/>
            <a:t>3. Units Damaged</a:t>
          </a:r>
        </a:p>
        <a:p>
          <a:pPr algn="l"/>
          <a:r>
            <a:rPr lang="en-US" sz="1000" b="0" baseline="0"/>
            <a:t>4. Distance_km </a:t>
          </a:r>
        </a:p>
        <a:p>
          <a:pPr algn="l"/>
          <a:r>
            <a:rPr lang="en-US" sz="1000" b="0" baseline="0"/>
            <a:t>5.Planned_Transit_Days </a:t>
          </a:r>
        </a:p>
        <a:p>
          <a:pPr algn="l"/>
          <a:r>
            <a:rPr lang="en-US" sz="1000" b="0" baseline="0"/>
            <a:t>6.Actual_Transit_Days </a:t>
          </a:r>
        </a:p>
        <a:p>
          <a:pPr algn="l"/>
          <a:r>
            <a:rPr lang="en-US" sz="1000" b="0" baseline="0"/>
            <a:t>7.Delay_Days Freight_Cost_NGN </a:t>
          </a:r>
        </a:p>
        <a:p>
          <a:pPr algn="l"/>
          <a:r>
            <a:rPr lang="en-US" sz="1000" b="0" baseline="0"/>
            <a:t>8.Budgeted_Freight_NGN </a:t>
          </a:r>
        </a:p>
        <a:p>
          <a:pPr algn="l"/>
          <a:r>
            <a:rPr lang="en-US" sz="1000" b="0" baseline="0"/>
            <a:t>9.On_Time_Flag</a:t>
          </a:r>
        </a:p>
        <a:p>
          <a:pPr algn="l"/>
          <a:r>
            <a:rPr lang="en-US" sz="1000" b="0" baseline="0"/>
            <a:t>10. Damage_Rate </a:t>
          </a:r>
        </a:p>
        <a:p>
          <a:pPr algn="l"/>
          <a:r>
            <a:rPr lang="en-US" sz="1000" b="0" baseline="0"/>
            <a:t>11. Cost_Variance_NGN</a:t>
          </a:r>
        </a:p>
        <a:p>
          <a:pPr algn="l"/>
          <a:r>
            <a:rPr lang="en-US" sz="1000" b="0" baseline="0"/>
            <a:t> 2. Cost_Variance_% </a:t>
          </a:r>
          <a:endParaRPr lang="en-US" sz="1000" b="0"/>
        </a:p>
      </xdr:txBody>
    </xdr:sp>
    <xdr:clientData/>
  </xdr:twoCellAnchor>
  <xdr:twoCellAnchor>
    <xdr:from>
      <xdr:col>0</xdr:col>
      <xdr:colOff>276226</xdr:colOff>
      <xdr:row>15</xdr:row>
      <xdr:rowOff>133350</xdr:rowOff>
    </xdr:from>
    <xdr:to>
      <xdr:col>3</xdr:col>
      <xdr:colOff>247650</xdr:colOff>
      <xdr:row>17</xdr:row>
      <xdr:rowOff>136641</xdr:rowOff>
    </xdr:to>
    <xdr:sp macro="" textlink="">
      <xdr:nvSpPr>
        <xdr:cNvPr id="7" name="TextBox 6">
          <a:extLst>
            <a:ext uri="{FF2B5EF4-FFF2-40B4-BE49-F238E27FC236}">
              <a16:creationId xmlns:a16="http://schemas.microsoft.com/office/drawing/2014/main" id="{D43E5BA1-A8F3-CEC7-D194-3DB9378C9A29}"/>
            </a:ext>
          </a:extLst>
        </xdr:cNvPr>
        <xdr:cNvSpPr txBox="1"/>
      </xdr:nvSpPr>
      <xdr:spPr>
        <a:xfrm>
          <a:off x="276226" y="2990850"/>
          <a:ext cx="1800224" cy="3842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Independent</a:t>
          </a:r>
          <a:r>
            <a:rPr lang="en-US" sz="1100" b="1" baseline="0"/>
            <a:t> Variables</a:t>
          </a:r>
          <a:endParaRPr lang="en-US" sz="1100" b="1"/>
        </a:p>
      </xdr:txBody>
    </xdr:sp>
    <xdr:clientData/>
  </xdr:twoCellAnchor>
  <xdr:twoCellAnchor>
    <xdr:from>
      <xdr:col>0</xdr:col>
      <xdr:colOff>323851</xdr:colOff>
      <xdr:row>17</xdr:row>
      <xdr:rowOff>0</xdr:rowOff>
    </xdr:from>
    <xdr:to>
      <xdr:col>3</xdr:col>
      <xdr:colOff>476251</xdr:colOff>
      <xdr:row>25</xdr:row>
      <xdr:rowOff>142875</xdr:rowOff>
    </xdr:to>
    <xdr:sp macro="" textlink="">
      <xdr:nvSpPr>
        <xdr:cNvPr id="8" name="TextBox 7">
          <a:extLst>
            <a:ext uri="{FF2B5EF4-FFF2-40B4-BE49-F238E27FC236}">
              <a16:creationId xmlns:a16="http://schemas.microsoft.com/office/drawing/2014/main" id="{D7BD297C-EF24-B7C4-332F-ED31C2D47945}"/>
            </a:ext>
          </a:extLst>
        </xdr:cNvPr>
        <xdr:cNvSpPr txBox="1"/>
      </xdr:nvSpPr>
      <xdr:spPr>
        <a:xfrm>
          <a:off x="323851" y="3238500"/>
          <a:ext cx="1981200" cy="1666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0"/>
            <a:t>1.</a:t>
          </a:r>
          <a:r>
            <a:rPr lang="en-US" sz="1000" b="0" baseline="0"/>
            <a:t> Delivery Status</a:t>
          </a:r>
        </a:p>
        <a:p>
          <a:pPr algn="l"/>
          <a:r>
            <a:rPr lang="en-US" sz="1000" b="0" baseline="0"/>
            <a:t>2. Priority</a:t>
          </a:r>
        </a:p>
        <a:p>
          <a:pPr algn="l"/>
          <a:r>
            <a:rPr lang="en-US" sz="1000" b="0" baseline="0"/>
            <a:t>3. Destination State</a:t>
          </a:r>
        </a:p>
        <a:p>
          <a:pPr algn="l"/>
          <a:r>
            <a:rPr lang="en-US" sz="1000" b="0" baseline="0"/>
            <a:t>4. Origin State</a:t>
          </a:r>
        </a:p>
        <a:p>
          <a:pPr algn="l"/>
          <a:r>
            <a:rPr lang="en-US" sz="1000" b="0" baseline="0"/>
            <a:t>5. Origin City</a:t>
          </a:r>
        </a:p>
        <a:p>
          <a:pPr algn="l"/>
          <a:r>
            <a:rPr lang="en-US" sz="1000" b="0" baseline="0"/>
            <a:t>6. Supplier</a:t>
          </a:r>
        </a:p>
        <a:p>
          <a:pPr algn="l"/>
          <a:r>
            <a:rPr lang="en-US" sz="1000" b="0" baseline="0"/>
            <a:t>7. Material</a:t>
          </a:r>
        </a:p>
        <a:p>
          <a:pPr algn="l"/>
          <a:r>
            <a:rPr lang="en-US" sz="1000" b="0" baseline="0"/>
            <a:t>8. Delivery Date</a:t>
          </a:r>
        </a:p>
        <a:p>
          <a:pPr algn="l"/>
          <a:r>
            <a:rPr lang="en-US" sz="1000" b="0" baseline="0"/>
            <a:t>9. Panned Date</a:t>
          </a:r>
        </a:p>
        <a:p>
          <a:pPr algn="l"/>
          <a:r>
            <a:rPr lang="en-US" sz="1000" b="0" baseline="0"/>
            <a:t>10. Shipment Id</a:t>
          </a:r>
        </a:p>
      </xdr:txBody>
    </xdr:sp>
    <xdr:clientData/>
  </xdr:twoCellAnchor>
  <xdr:twoCellAnchor>
    <xdr:from>
      <xdr:col>3</xdr:col>
      <xdr:colOff>390525</xdr:colOff>
      <xdr:row>4</xdr:row>
      <xdr:rowOff>9525</xdr:rowOff>
    </xdr:from>
    <xdr:to>
      <xdr:col>6</xdr:col>
      <xdr:colOff>123825</xdr:colOff>
      <xdr:row>6</xdr:row>
      <xdr:rowOff>12816</xdr:rowOff>
    </xdr:to>
    <xdr:sp macro="" textlink="">
      <xdr:nvSpPr>
        <xdr:cNvPr id="9" name="TextBox 8">
          <a:extLst>
            <a:ext uri="{FF2B5EF4-FFF2-40B4-BE49-F238E27FC236}">
              <a16:creationId xmlns:a16="http://schemas.microsoft.com/office/drawing/2014/main" id="{80F0F8D5-C18A-AE36-85AF-FACD5DB38697}"/>
            </a:ext>
          </a:extLst>
        </xdr:cNvPr>
        <xdr:cNvSpPr txBox="1"/>
      </xdr:nvSpPr>
      <xdr:spPr>
        <a:xfrm>
          <a:off x="2219325" y="771525"/>
          <a:ext cx="1562100" cy="3842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Potential Data Story</a:t>
          </a:r>
        </a:p>
      </xdr:txBody>
    </xdr:sp>
    <xdr:clientData/>
  </xdr:twoCellAnchor>
  <xdr:twoCellAnchor>
    <xdr:from>
      <xdr:col>3</xdr:col>
      <xdr:colOff>361950</xdr:colOff>
      <xdr:row>5</xdr:row>
      <xdr:rowOff>152400</xdr:rowOff>
    </xdr:from>
    <xdr:to>
      <xdr:col>9</xdr:col>
      <xdr:colOff>257175</xdr:colOff>
      <xdr:row>20</xdr:row>
      <xdr:rowOff>104775</xdr:rowOff>
    </xdr:to>
    <xdr:sp macro="" textlink="">
      <xdr:nvSpPr>
        <xdr:cNvPr id="10" name="TextBox 9">
          <a:extLst>
            <a:ext uri="{FF2B5EF4-FFF2-40B4-BE49-F238E27FC236}">
              <a16:creationId xmlns:a16="http://schemas.microsoft.com/office/drawing/2014/main" id="{2AE8DC69-1BD8-3D63-AB09-7DEB0A989162}"/>
            </a:ext>
          </a:extLst>
        </xdr:cNvPr>
        <xdr:cNvSpPr txBox="1"/>
      </xdr:nvSpPr>
      <xdr:spPr>
        <a:xfrm>
          <a:off x="2190750" y="1104900"/>
          <a:ext cx="3552825" cy="2809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0" baseline="0"/>
            <a:t>The analysis examines delivery performance, logistics efficiency, and freight cost control across shipments. By comparing delivery status, priority, supplier, material, origin, and destination, we can identify which routes, suppliers, or materials experience the most delays and damages.</a:t>
          </a:r>
        </a:p>
        <a:p>
          <a:pPr algn="l"/>
          <a:endParaRPr lang="en-US" sz="1000" b="0" baseline="0"/>
        </a:p>
        <a:p>
          <a:pPr algn="l"/>
          <a:r>
            <a:rPr lang="en-US" sz="1000" b="0" baseline="0"/>
            <a:t>Key performance indicators such as on-time delivery, delay days, damage rate, transit time, and units received versus shipped reveal where operational bottlenecks occur. At the same time, comparing actual freight costs against budgeted costs highlights routes or suppliers driving cost overruns.</a:t>
          </a:r>
        </a:p>
        <a:p>
          <a:pPr algn="l"/>
          <a:endParaRPr lang="en-US" sz="1000" b="0" baseline="0"/>
        </a:p>
        <a:p>
          <a:pPr algn="l"/>
          <a:r>
            <a:rPr lang="en-US" sz="1000" b="0" baseline="0"/>
            <a:t>The story could ultimately answer: Which suppliers, routes, and shipment priorities are responsible for delays, damages, and excess logistics costs, and what operational changes can improve delivery reliability while reducing freight expenditure?</a:t>
          </a:r>
        </a:p>
        <a:p>
          <a:pPr algn="l"/>
          <a:endParaRPr lang="en-US" sz="1000" b="0" baseline="0"/>
        </a:p>
      </xdr:txBody>
    </xdr:sp>
    <xdr:clientData/>
  </xdr:twoCellAnchor>
  <xdr:twoCellAnchor>
    <xdr:from>
      <xdr:col>3</xdr:col>
      <xdr:colOff>333375</xdr:colOff>
      <xdr:row>19</xdr:row>
      <xdr:rowOff>180976</xdr:rowOff>
    </xdr:from>
    <xdr:to>
      <xdr:col>5</xdr:col>
      <xdr:colOff>590550</xdr:colOff>
      <xdr:row>21</xdr:row>
      <xdr:rowOff>85726</xdr:rowOff>
    </xdr:to>
    <xdr:sp macro="" textlink="">
      <xdr:nvSpPr>
        <xdr:cNvPr id="11" name="TextBox 10">
          <a:extLst>
            <a:ext uri="{FF2B5EF4-FFF2-40B4-BE49-F238E27FC236}">
              <a16:creationId xmlns:a16="http://schemas.microsoft.com/office/drawing/2014/main" id="{5A5B0CEE-295F-BA3B-5A38-FCB8E2E94237}"/>
            </a:ext>
          </a:extLst>
        </xdr:cNvPr>
        <xdr:cNvSpPr txBox="1"/>
      </xdr:nvSpPr>
      <xdr:spPr>
        <a:xfrm>
          <a:off x="2162175" y="3800476"/>
          <a:ext cx="14763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Tool Used</a:t>
          </a:r>
        </a:p>
      </xdr:txBody>
    </xdr:sp>
    <xdr:clientData/>
  </xdr:twoCellAnchor>
  <xdr:twoCellAnchor>
    <xdr:from>
      <xdr:col>3</xdr:col>
      <xdr:colOff>304800</xdr:colOff>
      <xdr:row>21</xdr:row>
      <xdr:rowOff>85726</xdr:rowOff>
    </xdr:from>
    <xdr:to>
      <xdr:col>6</xdr:col>
      <xdr:colOff>371475</xdr:colOff>
      <xdr:row>23</xdr:row>
      <xdr:rowOff>19050</xdr:rowOff>
    </xdr:to>
    <xdr:sp macro="" textlink="">
      <xdr:nvSpPr>
        <xdr:cNvPr id="12" name="TextBox 11">
          <a:extLst>
            <a:ext uri="{FF2B5EF4-FFF2-40B4-BE49-F238E27FC236}">
              <a16:creationId xmlns:a16="http://schemas.microsoft.com/office/drawing/2014/main" id="{E8F92EEC-CD42-46BC-0AD9-83029C95A8C6}"/>
            </a:ext>
          </a:extLst>
        </xdr:cNvPr>
        <xdr:cNvSpPr txBox="1"/>
      </xdr:nvSpPr>
      <xdr:spPr>
        <a:xfrm>
          <a:off x="2133600" y="4086226"/>
          <a:ext cx="1895475" cy="3143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0"/>
            <a:t>Microsoft Excel</a:t>
          </a:r>
          <a:endParaRPr lang="en-US" sz="1000" b="0" baseline="0"/>
        </a:p>
      </xdr:txBody>
    </xdr:sp>
    <xdr:clientData/>
  </xdr:twoCellAnchor>
  <xdr:twoCellAnchor>
    <xdr:from>
      <xdr:col>9</xdr:col>
      <xdr:colOff>581026</xdr:colOff>
      <xdr:row>1</xdr:row>
      <xdr:rowOff>28575</xdr:rowOff>
    </xdr:from>
    <xdr:to>
      <xdr:col>19</xdr:col>
      <xdr:colOff>238126</xdr:colOff>
      <xdr:row>26</xdr:row>
      <xdr:rowOff>142875</xdr:rowOff>
    </xdr:to>
    <xdr:sp macro="" textlink="">
      <xdr:nvSpPr>
        <xdr:cNvPr id="13" name="Rectangle 12">
          <a:extLst>
            <a:ext uri="{FF2B5EF4-FFF2-40B4-BE49-F238E27FC236}">
              <a16:creationId xmlns:a16="http://schemas.microsoft.com/office/drawing/2014/main" id="{1C5B3672-C70F-1DD0-8410-3A8F48F7D018}"/>
            </a:ext>
          </a:extLst>
        </xdr:cNvPr>
        <xdr:cNvSpPr/>
      </xdr:nvSpPr>
      <xdr:spPr>
        <a:xfrm>
          <a:off x="6067426" y="219075"/>
          <a:ext cx="5753100" cy="487680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95250</xdr:colOff>
      <xdr:row>1</xdr:row>
      <xdr:rowOff>171451</xdr:rowOff>
    </xdr:from>
    <xdr:to>
      <xdr:col>12</xdr:col>
      <xdr:colOff>352425</xdr:colOff>
      <xdr:row>3</xdr:row>
      <xdr:rowOff>76201</xdr:rowOff>
    </xdr:to>
    <xdr:sp macro="" textlink="">
      <xdr:nvSpPr>
        <xdr:cNvPr id="14" name="TextBox 13">
          <a:extLst>
            <a:ext uri="{FF2B5EF4-FFF2-40B4-BE49-F238E27FC236}">
              <a16:creationId xmlns:a16="http://schemas.microsoft.com/office/drawing/2014/main" id="{184CD7A9-ABDA-1192-91EC-44069D2370C5}"/>
            </a:ext>
          </a:extLst>
        </xdr:cNvPr>
        <xdr:cNvSpPr txBox="1"/>
      </xdr:nvSpPr>
      <xdr:spPr>
        <a:xfrm>
          <a:off x="6191250" y="361951"/>
          <a:ext cx="14763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Stakeholders</a:t>
          </a:r>
        </a:p>
      </xdr:txBody>
    </xdr:sp>
    <xdr:clientData/>
  </xdr:twoCellAnchor>
  <xdr:twoCellAnchor>
    <xdr:from>
      <xdr:col>10</xdr:col>
      <xdr:colOff>104774</xdr:colOff>
      <xdr:row>3</xdr:row>
      <xdr:rowOff>28574</xdr:rowOff>
    </xdr:from>
    <xdr:to>
      <xdr:col>18</xdr:col>
      <xdr:colOff>533400</xdr:colOff>
      <xdr:row>18</xdr:row>
      <xdr:rowOff>161925</xdr:rowOff>
    </xdr:to>
    <xdr:sp macro="" textlink="">
      <xdr:nvSpPr>
        <xdr:cNvPr id="15" name="TextBox 14">
          <a:extLst>
            <a:ext uri="{FF2B5EF4-FFF2-40B4-BE49-F238E27FC236}">
              <a16:creationId xmlns:a16="http://schemas.microsoft.com/office/drawing/2014/main" id="{24E82F2E-611C-2F42-1923-4938FF1B4DE4}"/>
            </a:ext>
          </a:extLst>
        </xdr:cNvPr>
        <xdr:cNvSpPr txBox="1"/>
      </xdr:nvSpPr>
      <xdr:spPr>
        <a:xfrm>
          <a:off x="6200774" y="600074"/>
          <a:ext cx="5305426" cy="29908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baseline="0"/>
            <a:t>1. Host Communities </a:t>
          </a:r>
          <a:r>
            <a:rPr lang="en-US" sz="1000" b="0" baseline="0"/>
            <a:t>– affected by project delivery timelines, accessibility, installation activities, and service availability.</a:t>
          </a:r>
        </a:p>
        <a:p>
          <a:pPr algn="l"/>
          <a:endParaRPr lang="en-US" sz="1000" b="0" baseline="0"/>
        </a:p>
        <a:p>
          <a:pPr algn="l"/>
          <a:r>
            <a:rPr lang="en-US" sz="1000" b="1" baseline="0"/>
            <a:t>2.Community Leaders/Representatives </a:t>
          </a:r>
          <a:r>
            <a:rPr lang="en-US" sz="1000" b="0" baseline="0"/>
            <a:t>– coordinate community access and help manage local concerns around project activities. </a:t>
          </a:r>
        </a:p>
        <a:p>
          <a:pPr algn="l"/>
          <a:endParaRPr lang="en-US" sz="1000" b="0" baseline="0"/>
        </a:p>
        <a:p>
          <a:pPr algn="l"/>
          <a:r>
            <a:rPr lang="en-US" sz="1000" b="1" baseline="0"/>
            <a:t>3.Logistics/Supply Chain Team </a:t>
          </a:r>
          <a:r>
            <a:rPr lang="en-US" sz="1000" b="0" baseline="0"/>
            <a:t>– responsible for efficient movement of materials. </a:t>
          </a:r>
        </a:p>
        <a:p>
          <a:pPr algn="l"/>
          <a:endParaRPr lang="en-US" sz="1000" b="0" baseline="0"/>
        </a:p>
        <a:p>
          <a:pPr algn="l"/>
          <a:r>
            <a:rPr lang="en-US" sz="1000" b="1" baseline="0"/>
            <a:t>4.Procurement Team </a:t>
          </a:r>
          <a:r>
            <a:rPr lang="en-US" sz="1000" b="0" baseline="0"/>
            <a:t>– manages supplier selection and performance.</a:t>
          </a:r>
        </a:p>
        <a:p>
          <a:pPr algn="l"/>
          <a:endParaRPr lang="en-US" sz="1000" b="0" baseline="0"/>
        </a:p>
        <a:p>
          <a:pPr algn="l"/>
          <a:r>
            <a:rPr lang="en-US" sz="1000" b="1" baseline="0"/>
            <a:t> 5</a:t>
          </a:r>
          <a:r>
            <a:rPr lang="en-US" sz="1000" b="0" baseline="0"/>
            <a:t>.</a:t>
          </a:r>
          <a:r>
            <a:rPr lang="en-US" sz="1000" b="1" baseline="0"/>
            <a:t>Operations/Project Team </a:t>
          </a:r>
          <a:r>
            <a:rPr lang="en-US" sz="1000" b="0" baseline="0"/>
            <a:t>– ensures materials arrive when needed for project execution. </a:t>
          </a:r>
        </a:p>
        <a:p>
          <a:pPr algn="l"/>
          <a:endParaRPr lang="en-US" sz="1000" b="0" baseline="0"/>
        </a:p>
        <a:p>
          <a:pPr algn="l"/>
          <a:r>
            <a:rPr lang="en-US" sz="1000" b="1" baseline="0"/>
            <a:t>6. Finance Team </a:t>
          </a:r>
          <a:r>
            <a:rPr lang="en-US" sz="1000" b="0" baseline="0"/>
            <a:t>– monitors freight expenditure and budget variance. Suppliers – responsible for providing materials according to specifications and timelines.</a:t>
          </a:r>
        </a:p>
        <a:p>
          <a:pPr algn="l"/>
          <a:endParaRPr lang="en-US" sz="1000" b="0" baseline="0"/>
        </a:p>
        <a:p>
          <a:pPr algn="l"/>
          <a:r>
            <a:rPr lang="en-US" sz="1000" b="1" baseline="0"/>
            <a:t>7. Transport/Logistics Partners </a:t>
          </a:r>
          <a:r>
            <a:rPr lang="en-US" sz="1000" b="0" baseline="0"/>
            <a:t>– responsible for moving materials.</a:t>
          </a:r>
        </a:p>
        <a:p>
          <a:pPr algn="l"/>
          <a:endParaRPr lang="en-US" sz="1000" b="0" baseline="0"/>
        </a:p>
        <a:p>
          <a:pPr algn="l"/>
          <a:r>
            <a:rPr lang="en-US" sz="1000" b="1" baseline="0"/>
            <a:t>8. Management/Executives </a:t>
          </a:r>
          <a:r>
            <a:rPr lang="en-US" sz="1000" b="0" baseline="0"/>
            <a:t>– make strategic decisions based on performance and cost insights.</a:t>
          </a:r>
        </a:p>
      </xdr:txBody>
    </xdr:sp>
    <xdr:clientData/>
  </xdr:twoCellAnchor>
  <xdr:twoCellAnchor>
    <xdr:from>
      <xdr:col>3</xdr:col>
      <xdr:colOff>276225</xdr:colOff>
      <xdr:row>23</xdr:row>
      <xdr:rowOff>1</xdr:rowOff>
    </xdr:from>
    <xdr:to>
      <xdr:col>5</xdr:col>
      <xdr:colOff>533400</xdr:colOff>
      <xdr:row>24</xdr:row>
      <xdr:rowOff>95251</xdr:rowOff>
    </xdr:to>
    <xdr:sp macro="" textlink="">
      <xdr:nvSpPr>
        <xdr:cNvPr id="16" name="TextBox 15">
          <a:extLst>
            <a:ext uri="{FF2B5EF4-FFF2-40B4-BE49-F238E27FC236}">
              <a16:creationId xmlns:a16="http://schemas.microsoft.com/office/drawing/2014/main" id="{1918E691-EB87-4C8A-1D25-2842D98EFDE0}"/>
            </a:ext>
          </a:extLst>
        </xdr:cNvPr>
        <xdr:cNvSpPr txBox="1"/>
      </xdr:nvSpPr>
      <xdr:spPr>
        <a:xfrm>
          <a:off x="2105025" y="4381501"/>
          <a:ext cx="14763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Industry</a:t>
          </a:r>
        </a:p>
      </xdr:txBody>
    </xdr:sp>
    <xdr:clientData/>
  </xdr:twoCellAnchor>
  <xdr:twoCellAnchor>
    <xdr:from>
      <xdr:col>3</xdr:col>
      <xdr:colOff>266700</xdr:colOff>
      <xdr:row>24</xdr:row>
      <xdr:rowOff>95251</xdr:rowOff>
    </xdr:from>
    <xdr:to>
      <xdr:col>8</xdr:col>
      <xdr:colOff>304800</xdr:colOff>
      <xdr:row>26</xdr:row>
      <xdr:rowOff>28575</xdr:rowOff>
    </xdr:to>
    <xdr:sp macro="" textlink="">
      <xdr:nvSpPr>
        <xdr:cNvPr id="17" name="TextBox 16">
          <a:extLst>
            <a:ext uri="{FF2B5EF4-FFF2-40B4-BE49-F238E27FC236}">
              <a16:creationId xmlns:a16="http://schemas.microsoft.com/office/drawing/2014/main" id="{659E16DE-1BFE-1713-DB76-0C385C21315B}"/>
            </a:ext>
          </a:extLst>
        </xdr:cNvPr>
        <xdr:cNvSpPr txBox="1"/>
      </xdr:nvSpPr>
      <xdr:spPr>
        <a:xfrm>
          <a:off x="2095500" y="4667251"/>
          <a:ext cx="3086100" cy="3143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0"/>
            <a:t>Renewable Energy &amp; Energy Infrastructure Supply Chain</a:t>
          </a:r>
          <a:endParaRPr lang="en-US" sz="1000" b="0" baseline="0"/>
        </a:p>
      </xdr:txBody>
    </xdr:sp>
    <xdr:clientData/>
  </xdr:twoCellAnchor>
  <xdr:twoCellAnchor>
    <xdr:from>
      <xdr:col>10</xdr:col>
      <xdr:colOff>180974</xdr:colOff>
      <xdr:row>19</xdr:row>
      <xdr:rowOff>47626</xdr:rowOff>
    </xdr:from>
    <xdr:to>
      <xdr:col>15</xdr:col>
      <xdr:colOff>400050</xdr:colOff>
      <xdr:row>20</xdr:row>
      <xdr:rowOff>142876</xdr:rowOff>
    </xdr:to>
    <xdr:sp macro="" textlink="">
      <xdr:nvSpPr>
        <xdr:cNvPr id="18" name="TextBox 17">
          <a:extLst>
            <a:ext uri="{FF2B5EF4-FFF2-40B4-BE49-F238E27FC236}">
              <a16:creationId xmlns:a16="http://schemas.microsoft.com/office/drawing/2014/main" id="{56D88070-751B-C376-CDBD-34128BEF78B3}"/>
            </a:ext>
          </a:extLst>
        </xdr:cNvPr>
        <xdr:cNvSpPr txBox="1"/>
      </xdr:nvSpPr>
      <xdr:spPr>
        <a:xfrm>
          <a:off x="6276974" y="3667126"/>
          <a:ext cx="326707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What Would Success</a:t>
          </a:r>
          <a:r>
            <a:rPr lang="en-US" sz="1100" b="1" baseline="0"/>
            <a:t> Mean To StakeHolders?</a:t>
          </a:r>
          <a:endParaRPr lang="en-US" sz="1100" b="1"/>
        </a:p>
      </xdr:txBody>
    </xdr:sp>
    <xdr:clientData/>
  </xdr:twoCellAnchor>
  <xdr:twoCellAnchor>
    <xdr:from>
      <xdr:col>10</xdr:col>
      <xdr:colOff>200025</xdr:colOff>
      <xdr:row>20</xdr:row>
      <xdr:rowOff>142875</xdr:rowOff>
    </xdr:from>
    <xdr:to>
      <xdr:col>16</xdr:col>
      <xdr:colOff>581025</xdr:colOff>
      <xdr:row>23</xdr:row>
      <xdr:rowOff>161924</xdr:rowOff>
    </xdr:to>
    <xdr:sp macro="" textlink="">
      <xdr:nvSpPr>
        <xdr:cNvPr id="23" name="TextBox 22">
          <a:extLst>
            <a:ext uri="{FF2B5EF4-FFF2-40B4-BE49-F238E27FC236}">
              <a16:creationId xmlns:a16="http://schemas.microsoft.com/office/drawing/2014/main" id="{C4D4C1FF-00B0-05FD-0BD1-FD12686DFAEE}"/>
            </a:ext>
          </a:extLst>
        </xdr:cNvPr>
        <xdr:cNvSpPr txBox="1"/>
      </xdr:nvSpPr>
      <xdr:spPr>
        <a:xfrm>
          <a:off x="6296025" y="3952875"/>
          <a:ext cx="4038600" cy="5905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0"/>
            <a:t>Success means delivering renewable-energy materials to project locations on time, within budget, and in good condition, enabling projects to be completed efficiently and delivering intended benefits to host communities.</a:t>
          </a:r>
          <a:endParaRPr lang="en-US" sz="1000" b="0" baseline="0"/>
        </a:p>
      </xdr:txBody>
    </xdr:sp>
    <xdr:clientData/>
  </xdr:twoCellAnchor>
  <xdr:twoCellAnchor>
    <xdr:from>
      <xdr:col>0</xdr:col>
      <xdr:colOff>219076</xdr:colOff>
      <xdr:row>27</xdr:row>
      <xdr:rowOff>19050</xdr:rowOff>
    </xdr:from>
    <xdr:to>
      <xdr:col>9</xdr:col>
      <xdr:colOff>485776</xdr:colOff>
      <xdr:row>52</xdr:row>
      <xdr:rowOff>133350</xdr:rowOff>
    </xdr:to>
    <xdr:sp macro="" textlink="">
      <xdr:nvSpPr>
        <xdr:cNvPr id="24" name="Rectangle 23">
          <a:extLst>
            <a:ext uri="{FF2B5EF4-FFF2-40B4-BE49-F238E27FC236}">
              <a16:creationId xmlns:a16="http://schemas.microsoft.com/office/drawing/2014/main" id="{B35E9CF2-2272-F8DA-C287-EDA5F293E6AF}"/>
            </a:ext>
          </a:extLst>
        </xdr:cNvPr>
        <xdr:cNvSpPr/>
      </xdr:nvSpPr>
      <xdr:spPr>
        <a:xfrm>
          <a:off x="219076" y="5162550"/>
          <a:ext cx="5753100" cy="487680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285750</xdr:colOff>
      <xdr:row>27</xdr:row>
      <xdr:rowOff>123826</xdr:rowOff>
    </xdr:from>
    <xdr:to>
      <xdr:col>4</xdr:col>
      <xdr:colOff>180975</xdr:colOff>
      <xdr:row>29</xdr:row>
      <xdr:rowOff>28576</xdr:rowOff>
    </xdr:to>
    <xdr:sp macro="" textlink="">
      <xdr:nvSpPr>
        <xdr:cNvPr id="25" name="TextBox 24">
          <a:extLst>
            <a:ext uri="{FF2B5EF4-FFF2-40B4-BE49-F238E27FC236}">
              <a16:creationId xmlns:a16="http://schemas.microsoft.com/office/drawing/2014/main" id="{655280B6-CE2F-47FD-E8F0-A88DFD72799D}"/>
            </a:ext>
          </a:extLst>
        </xdr:cNvPr>
        <xdr:cNvSpPr txBox="1"/>
      </xdr:nvSpPr>
      <xdr:spPr>
        <a:xfrm>
          <a:off x="285750" y="5267326"/>
          <a:ext cx="233362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Potential</a:t>
          </a:r>
          <a:r>
            <a:rPr lang="en-US" sz="1100" b="1" baseline="0"/>
            <a:t> Business questions</a:t>
          </a:r>
          <a:endParaRPr lang="en-US" sz="1100" b="1"/>
        </a:p>
      </xdr:txBody>
    </xdr:sp>
    <xdr:clientData/>
  </xdr:twoCellAnchor>
  <xdr:twoCellAnchor>
    <xdr:from>
      <xdr:col>0</xdr:col>
      <xdr:colOff>295274</xdr:colOff>
      <xdr:row>29</xdr:row>
      <xdr:rowOff>66676</xdr:rowOff>
    </xdr:from>
    <xdr:to>
      <xdr:col>9</xdr:col>
      <xdr:colOff>104775</xdr:colOff>
      <xdr:row>38</xdr:row>
      <xdr:rowOff>9526</xdr:rowOff>
    </xdr:to>
    <xdr:sp macro="" textlink="">
      <xdr:nvSpPr>
        <xdr:cNvPr id="26" name="TextBox 25">
          <a:extLst>
            <a:ext uri="{FF2B5EF4-FFF2-40B4-BE49-F238E27FC236}">
              <a16:creationId xmlns:a16="http://schemas.microsoft.com/office/drawing/2014/main" id="{FDC40CB1-81A6-8892-EB1D-9E0EEBD20622}"/>
            </a:ext>
          </a:extLst>
        </xdr:cNvPr>
        <xdr:cNvSpPr txBox="1"/>
      </xdr:nvSpPr>
      <xdr:spPr>
        <a:xfrm>
          <a:off x="295274" y="5591176"/>
          <a:ext cx="5295901" cy="165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0" baseline="0"/>
            <a:t>1. Which suppliers are performing best across on-time delivery, damage rate, and freight cost? </a:t>
          </a:r>
        </a:p>
        <a:p>
          <a:pPr algn="l"/>
          <a:r>
            <a:rPr lang="en-US" sz="1000" b="0" baseline="0"/>
            <a:t>2. Which origin–destination routes experience the highest delivery delays and cost overruns? </a:t>
          </a:r>
        </a:p>
        <a:p>
          <a:pPr algn="l"/>
          <a:r>
            <a:rPr lang="en-US" sz="1000" b="0" baseline="0"/>
            <a:t>3. What factors are most associated with late deliveries, particularly distance, priority, supplier, and material?</a:t>
          </a:r>
        </a:p>
        <a:p>
          <a:pPr algn="l"/>
          <a:r>
            <a:rPr lang="en-US" sz="1000" b="0" baseline="0"/>
            <a:t>4.  Which renewable-energy materials have the highest damage rates and shipment losses? </a:t>
          </a:r>
        </a:p>
        <a:p>
          <a:pPr algn="l"/>
          <a:r>
            <a:rPr lang="en-US" sz="1000" b="0" baseline="0"/>
            <a:t>5. Which suppliers and routes consistently exceed their budgeted freight costs? </a:t>
          </a:r>
        </a:p>
        <a:p>
          <a:pPr algn="l"/>
          <a:r>
            <a:rPr lang="en-US" sz="1000" b="0" baseline="0"/>
            <a:t>6. Does longer transportation distance lead to higher freight costs, longer transit times, or greater material damage? </a:t>
          </a:r>
        </a:p>
        <a:p>
          <a:pPr algn="l"/>
          <a:r>
            <a:rPr lang="en-US" sz="1000" b="0" baseline="0"/>
            <a:t>7. Which suppliers, routes, and materials should management prioritize for corrective action to improve delivery reliability and reduce logistics costs?</a:t>
          </a:r>
        </a:p>
      </xdr:txBody>
    </xdr:sp>
    <xdr:clientData/>
  </xdr:twoCellAnchor>
  <xdr:twoCellAnchor>
    <xdr:from>
      <xdr:col>0</xdr:col>
      <xdr:colOff>314325</xdr:colOff>
      <xdr:row>38</xdr:row>
      <xdr:rowOff>152401</xdr:rowOff>
    </xdr:from>
    <xdr:to>
      <xdr:col>4</xdr:col>
      <xdr:colOff>209550</xdr:colOff>
      <xdr:row>40</xdr:row>
      <xdr:rowOff>57151</xdr:rowOff>
    </xdr:to>
    <xdr:sp macro="" textlink="">
      <xdr:nvSpPr>
        <xdr:cNvPr id="27" name="TextBox 26">
          <a:extLst>
            <a:ext uri="{FF2B5EF4-FFF2-40B4-BE49-F238E27FC236}">
              <a16:creationId xmlns:a16="http://schemas.microsoft.com/office/drawing/2014/main" id="{C06FC146-2F67-BB73-533C-61D2F808869D}"/>
            </a:ext>
          </a:extLst>
        </xdr:cNvPr>
        <xdr:cNvSpPr txBox="1"/>
      </xdr:nvSpPr>
      <xdr:spPr>
        <a:xfrm>
          <a:off x="314325" y="7391401"/>
          <a:ext cx="233362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Potential</a:t>
          </a:r>
          <a:r>
            <a:rPr lang="en-US" sz="1100" b="1" baseline="0"/>
            <a:t> Insights</a:t>
          </a:r>
          <a:endParaRPr lang="en-US" sz="1100" b="1"/>
        </a:p>
      </xdr:txBody>
    </xdr:sp>
    <xdr:clientData/>
  </xdr:twoCellAnchor>
  <xdr:twoCellAnchor>
    <xdr:from>
      <xdr:col>0</xdr:col>
      <xdr:colOff>295274</xdr:colOff>
      <xdr:row>40</xdr:row>
      <xdr:rowOff>76199</xdr:rowOff>
    </xdr:from>
    <xdr:to>
      <xdr:col>9</xdr:col>
      <xdr:colOff>247650</xdr:colOff>
      <xdr:row>52</xdr:row>
      <xdr:rowOff>66674</xdr:rowOff>
    </xdr:to>
    <xdr:sp macro="" textlink="">
      <xdr:nvSpPr>
        <xdr:cNvPr id="28" name="TextBox 27">
          <a:extLst>
            <a:ext uri="{FF2B5EF4-FFF2-40B4-BE49-F238E27FC236}">
              <a16:creationId xmlns:a16="http://schemas.microsoft.com/office/drawing/2014/main" id="{D7AB18F4-9945-A2B0-DC6F-F241FDA61F9B}"/>
            </a:ext>
          </a:extLst>
        </xdr:cNvPr>
        <xdr:cNvSpPr txBox="1"/>
      </xdr:nvSpPr>
      <xdr:spPr>
        <a:xfrm>
          <a:off x="295274" y="7696199"/>
          <a:ext cx="5438776" cy="2276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0" baseline="0"/>
            <a:t>1. A small group of suppliers may consistently achieve high on-time delivery, low damage rates, and lower freight costs, making them preferred suppliers.</a:t>
          </a:r>
        </a:p>
        <a:p>
          <a:pPr algn="l"/>
          <a:r>
            <a:rPr lang="en-US" sz="1000" b="0" baseline="0"/>
            <a:t>2. Certain origin–destination routes or states may account for a disproportionate share of delays and freight-cost overruns, indicating route or transportation challenges.</a:t>
          </a:r>
        </a:p>
        <a:p>
          <a:pPr algn="l"/>
          <a:r>
            <a:rPr lang="en-US" sz="1000" b="0" baseline="0"/>
            <a:t>3. Distance, supplier performance, material type, and priority may emerge as key factors associated with longer transit times and delays.</a:t>
          </a:r>
        </a:p>
        <a:p>
          <a:pPr algn="l"/>
          <a:r>
            <a:rPr lang="en-US" sz="1000" b="0" baseline="0"/>
            <a:t>4. Fragile or poorly packaged renewable-energy materials may show significantly higher damage rates and shipment losses.</a:t>
          </a:r>
        </a:p>
        <a:p>
          <a:pPr algn="l"/>
          <a:r>
            <a:rPr lang="en-US" sz="1000" b="0" baseline="0"/>
            <a:t>5. Specific suppliers or routes may repeatedly generate positive cost variance, suggesting inefficient transportation arrangements or unrealistic freight budgets.</a:t>
          </a:r>
        </a:p>
        <a:p>
          <a:pPr algn="l"/>
          <a:r>
            <a:rPr lang="en-US" sz="1000" b="0" baseline="0"/>
            <a:t>6. Longer routes may have higher freight costs and transit times, but some routes may perform unusually well despite their distance, revealing route-efficiency opportunities.</a:t>
          </a:r>
        </a:p>
        <a:p>
          <a:pPr algn="l"/>
          <a:r>
            <a:rPr lang="en-US" sz="1000" b="0" baseline="0"/>
            <a:t>7. The analysis could identify high-risk suppliers, routes, and materials that combine delays, damage, and cost overruns and therefore deserve immediate corrective action.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1314450</xdr:colOff>
      <xdr:row>284</xdr:row>
      <xdr:rowOff>14287</xdr:rowOff>
    </xdr:from>
    <xdr:to>
      <xdr:col>4</xdr:col>
      <xdr:colOff>1285875</xdr:colOff>
      <xdr:row>298</xdr:row>
      <xdr:rowOff>90487</xdr:rowOff>
    </xdr:to>
    <xdr:graphicFrame macro="">
      <xdr:nvGraphicFramePr>
        <xdr:cNvPr id="6" name="Chart 5">
          <a:extLst>
            <a:ext uri="{FF2B5EF4-FFF2-40B4-BE49-F238E27FC236}">
              <a16:creationId xmlns:a16="http://schemas.microsoft.com/office/drawing/2014/main" id="{AE6D74C6-F625-1732-A82A-728ABE9FF5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323850</xdr:colOff>
      <xdr:row>284</xdr:row>
      <xdr:rowOff>4762</xdr:rowOff>
    </xdr:from>
    <xdr:to>
      <xdr:col>17</xdr:col>
      <xdr:colOff>342900</xdr:colOff>
      <xdr:row>298</xdr:row>
      <xdr:rowOff>80962</xdr:rowOff>
    </xdr:to>
    <xdr:graphicFrame macro="">
      <xdr:nvGraphicFramePr>
        <xdr:cNvPr id="7" name="Chart 6">
          <a:extLst>
            <a:ext uri="{FF2B5EF4-FFF2-40B4-BE49-F238E27FC236}">
              <a16:creationId xmlns:a16="http://schemas.microsoft.com/office/drawing/2014/main" id="{D4CFF155-0E59-059E-7DA3-4783183A6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1062037</xdr:colOff>
      <xdr:row>274</xdr:row>
      <xdr:rowOff>47625</xdr:rowOff>
    </xdr:from>
    <xdr:to>
      <xdr:col>4</xdr:col>
      <xdr:colOff>1238249</xdr:colOff>
      <xdr:row>283</xdr:row>
      <xdr:rowOff>147637</xdr:rowOff>
    </xdr:to>
    <xdr:graphicFrame macro="">
      <xdr:nvGraphicFramePr>
        <xdr:cNvPr id="8" name="Chart 7">
          <a:extLst>
            <a:ext uri="{FF2B5EF4-FFF2-40B4-BE49-F238E27FC236}">
              <a16:creationId xmlns:a16="http://schemas.microsoft.com/office/drawing/2014/main" id="{2FC98F7A-D201-B742-B2F0-305FBC5D0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511970</xdr:colOff>
      <xdr:row>0</xdr:row>
      <xdr:rowOff>0</xdr:rowOff>
    </xdr:from>
    <xdr:to>
      <xdr:col>23</xdr:col>
      <xdr:colOff>505659</xdr:colOff>
      <xdr:row>2</xdr:row>
      <xdr:rowOff>180976</xdr:rowOff>
    </xdr:to>
    <xdr:sp macro="" textlink="">
      <xdr:nvSpPr>
        <xdr:cNvPr id="2" name="Rectangle: Rounded Corners 1">
          <a:extLst>
            <a:ext uri="{FF2B5EF4-FFF2-40B4-BE49-F238E27FC236}">
              <a16:creationId xmlns:a16="http://schemas.microsoft.com/office/drawing/2014/main" id="{9CB407C7-F6C4-4650-A6AD-8CDD8122CC0E}"/>
            </a:ext>
          </a:extLst>
        </xdr:cNvPr>
        <xdr:cNvSpPr/>
      </xdr:nvSpPr>
      <xdr:spPr>
        <a:xfrm>
          <a:off x="511970" y="0"/>
          <a:ext cx="13959720" cy="561976"/>
        </a:xfrm>
        <a:prstGeom prst="roundRect">
          <a:avLst>
            <a:gd name="adj" fmla="val 9770"/>
          </a:avLst>
        </a:prstGeom>
        <a:solidFill>
          <a:srgbClr val="0B30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319701</xdr:colOff>
      <xdr:row>0</xdr:row>
      <xdr:rowOff>32931</xdr:rowOff>
    </xdr:from>
    <xdr:to>
      <xdr:col>10</xdr:col>
      <xdr:colOff>163294</xdr:colOff>
      <xdr:row>1</xdr:row>
      <xdr:rowOff>128181</xdr:rowOff>
    </xdr:to>
    <xdr:sp macro="" textlink="">
      <xdr:nvSpPr>
        <xdr:cNvPr id="9" name="TextBox 8">
          <a:extLst>
            <a:ext uri="{FF2B5EF4-FFF2-40B4-BE49-F238E27FC236}">
              <a16:creationId xmlns:a16="http://schemas.microsoft.com/office/drawing/2014/main" id="{96460690-2415-4A48-9F89-30699F23F0BE}"/>
            </a:ext>
          </a:extLst>
        </xdr:cNvPr>
        <xdr:cNvSpPr txBox="1"/>
      </xdr:nvSpPr>
      <xdr:spPr>
        <a:xfrm>
          <a:off x="926920" y="32931"/>
          <a:ext cx="530856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Renewable Energy Supply Chain &amp; Logistics Performance Dashboard</a:t>
          </a:r>
        </a:p>
      </xdr:txBody>
    </xdr:sp>
    <xdr:clientData/>
  </xdr:twoCellAnchor>
  <xdr:twoCellAnchor>
    <xdr:from>
      <xdr:col>22</xdr:col>
      <xdr:colOff>225782</xdr:colOff>
      <xdr:row>0</xdr:row>
      <xdr:rowOff>28768</xdr:rowOff>
    </xdr:from>
    <xdr:to>
      <xdr:col>24</xdr:col>
      <xdr:colOff>89678</xdr:colOff>
      <xdr:row>1</xdr:row>
      <xdr:rowOff>88833</xdr:rowOff>
    </xdr:to>
    <xdr:sp macro="" textlink="">
      <xdr:nvSpPr>
        <xdr:cNvPr id="10" name="TextBox 9">
          <a:extLst>
            <a:ext uri="{FF2B5EF4-FFF2-40B4-BE49-F238E27FC236}">
              <a16:creationId xmlns:a16="http://schemas.microsoft.com/office/drawing/2014/main" id="{C51F8155-195C-4ADA-8085-2EB3D67A101C}"/>
            </a:ext>
          </a:extLst>
        </xdr:cNvPr>
        <xdr:cNvSpPr txBox="1"/>
      </xdr:nvSpPr>
      <xdr:spPr>
        <a:xfrm>
          <a:off x="13584595" y="28768"/>
          <a:ext cx="1078333" cy="250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solidFill>
            </a:rPr>
            <a:t>Reporting Date</a:t>
          </a:r>
        </a:p>
      </xdr:txBody>
    </xdr:sp>
    <xdr:clientData/>
  </xdr:twoCellAnchor>
  <xdr:twoCellAnchor editAs="oneCell">
    <xdr:from>
      <xdr:col>22</xdr:col>
      <xdr:colOff>1218</xdr:colOff>
      <xdr:row>0</xdr:row>
      <xdr:rowOff>71580</xdr:rowOff>
    </xdr:from>
    <xdr:to>
      <xdr:col>22</xdr:col>
      <xdr:colOff>262417</xdr:colOff>
      <xdr:row>1</xdr:row>
      <xdr:rowOff>144699</xdr:rowOff>
    </xdr:to>
    <xdr:pic>
      <xdr:nvPicPr>
        <xdr:cNvPr id="11" name="Picture 10">
          <a:extLst>
            <a:ext uri="{FF2B5EF4-FFF2-40B4-BE49-F238E27FC236}">
              <a16:creationId xmlns:a16="http://schemas.microsoft.com/office/drawing/2014/main" id="{22390088-D8A1-4752-AA59-239E24BBBB61}"/>
            </a:ext>
          </a:extLst>
        </xdr:cNvPr>
        <xdr:cNvPicPr>
          <a:picLocks noChangeAspect="1"/>
        </xdr:cNvPicPr>
      </xdr:nvPicPr>
      <xdr:blipFill>
        <a:blip xmlns:r="http://schemas.openxmlformats.org/officeDocument/2006/relationships" r:embed="rId1"/>
        <a:stretch>
          <a:fillRect/>
        </a:stretch>
      </xdr:blipFill>
      <xdr:spPr>
        <a:xfrm>
          <a:off x="13360031" y="71580"/>
          <a:ext cx="261199" cy="263619"/>
        </a:xfrm>
        <a:prstGeom prst="rect">
          <a:avLst/>
        </a:prstGeom>
      </xdr:spPr>
    </xdr:pic>
    <xdr:clientData/>
  </xdr:twoCellAnchor>
  <xdr:twoCellAnchor>
    <xdr:from>
      <xdr:col>1</xdr:col>
      <xdr:colOff>319703</xdr:colOff>
      <xdr:row>1</xdr:row>
      <xdr:rowOff>39151</xdr:rowOff>
    </xdr:from>
    <xdr:to>
      <xdr:col>3</xdr:col>
      <xdr:colOff>565532</xdr:colOff>
      <xdr:row>2</xdr:row>
      <xdr:rowOff>134401</xdr:rowOff>
    </xdr:to>
    <xdr:sp macro="" textlink="">
      <xdr:nvSpPr>
        <xdr:cNvPr id="12" name="TextBox 11">
          <a:extLst>
            <a:ext uri="{FF2B5EF4-FFF2-40B4-BE49-F238E27FC236}">
              <a16:creationId xmlns:a16="http://schemas.microsoft.com/office/drawing/2014/main" id="{733D140F-1954-4E73-9708-75000CA5FEA1}"/>
            </a:ext>
          </a:extLst>
        </xdr:cNvPr>
        <xdr:cNvSpPr txBox="1"/>
      </xdr:nvSpPr>
      <xdr:spPr>
        <a:xfrm>
          <a:off x="926922" y="229651"/>
          <a:ext cx="146026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rgbClr val="9DB0C0"/>
              </a:solidFill>
            </a:rPr>
            <a:t>Supplier | Route | Material</a:t>
          </a:r>
        </a:p>
      </xdr:txBody>
    </xdr:sp>
    <xdr:clientData/>
  </xdr:twoCellAnchor>
  <xdr:twoCellAnchor>
    <xdr:from>
      <xdr:col>16</xdr:col>
      <xdr:colOff>134837</xdr:colOff>
      <xdr:row>5</xdr:row>
      <xdr:rowOff>24796</xdr:rowOff>
    </xdr:from>
    <xdr:to>
      <xdr:col>18</xdr:col>
      <xdr:colOff>4428</xdr:colOff>
      <xdr:row>6</xdr:row>
      <xdr:rowOff>84862</xdr:rowOff>
    </xdr:to>
    <xdr:sp macro="" textlink="">
      <xdr:nvSpPr>
        <xdr:cNvPr id="13" name="TextBox 12">
          <a:extLst>
            <a:ext uri="{FF2B5EF4-FFF2-40B4-BE49-F238E27FC236}">
              <a16:creationId xmlns:a16="http://schemas.microsoft.com/office/drawing/2014/main" id="{0C72A9D8-9AF3-4A61-9506-69C49642CF16}"/>
            </a:ext>
          </a:extLst>
        </xdr:cNvPr>
        <xdr:cNvSpPr txBox="1"/>
      </xdr:nvSpPr>
      <xdr:spPr>
        <a:xfrm>
          <a:off x="9850337" y="977296"/>
          <a:ext cx="1084029" cy="250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b="1">
            <a:solidFill>
              <a:srgbClr val="C5A059"/>
            </a:solidFill>
          </a:endParaRPr>
        </a:p>
      </xdr:txBody>
    </xdr:sp>
    <xdr:clientData/>
  </xdr:twoCellAnchor>
  <xdr:twoCellAnchor editAs="oneCell">
    <xdr:from>
      <xdr:col>12</xdr:col>
      <xdr:colOff>212501</xdr:colOff>
      <xdr:row>220</xdr:row>
      <xdr:rowOff>34665</xdr:rowOff>
    </xdr:from>
    <xdr:to>
      <xdr:col>15</xdr:col>
      <xdr:colOff>10935</xdr:colOff>
      <xdr:row>222</xdr:row>
      <xdr:rowOff>91815</xdr:rowOff>
    </xdr:to>
    <xdr:pic>
      <xdr:nvPicPr>
        <xdr:cNvPr id="21" name="Picture 20" descr="Flaticon logo">
          <a:hlinkClick xmlns:r="http://schemas.openxmlformats.org/officeDocument/2006/relationships" r:id="rId2"/>
          <a:extLst>
            <a:ext uri="{FF2B5EF4-FFF2-40B4-BE49-F238E27FC236}">
              <a16:creationId xmlns:a16="http://schemas.microsoft.com/office/drawing/2014/main" id="{8753619E-EF4D-41E0-9C1B-976B77333F2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99126" y="41944665"/>
          <a:ext cx="162009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20460</xdr:colOff>
      <xdr:row>220</xdr:row>
      <xdr:rowOff>34665</xdr:rowOff>
    </xdr:from>
    <xdr:to>
      <xdr:col>19</xdr:col>
      <xdr:colOff>200174</xdr:colOff>
      <xdr:row>221</xdr:row>
      <xdr:rowOff>91815</xdr:rowOff>
    </xdr:to>
    <xdr:pic>
      <xdr:nvPicPr>
        <xdr:cNvPr id="22" name="Picture 21" descr="Flaticon logo">
          <a:hlinkClick xmlns:r="http://schemas.openxmlformats.org/officeDocument/2006/relationships" r:id="rId2"/>
          <a:extLst>
            <a:ext uri="{FF2B5EF4-FFF2-40B4-BE49-F238E27FC236}">
              <a16:creationId xmlns:a16="http://schemas.microsoft.com/office/drawing/2014/main" id="{3E9F6F61-F42F-4A65-B8CC-7437DEB4CFC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128741" y="41944665"/>
          <a:ext cx="2608589"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212501</xdr:colOff>
      <xdr:row>258</xdr:row>
      <xdr:rowOff>34665</xdr:rowOff>
    </xdr:from>
    <xdr:to>
      <xdr:col>12</xdr:col>
      <xdr:colOff>355376</xdr:colOff>
      <xdr:row>258</xdr:row>
      <xdr:rowOff>177540</xdr:rowOff>
    </xdr:to>
    <xdr:pic>
      <xdr:nvPicPr>
        <xdr:cNvPr id="23" name="Picture 22" descr="twitter logo">
          <a:hlinkClick xmlns:r="http://schemas.openxmlformats.org/officeDocument/2006/relationships" r:id="rId4" tgtFrame="_blank" tooltip="Twitter"/>
          <a:extLst>
            <a:ext uri="{FF2B5EF4-FFF2-40B4-BE49-F238E27FC236}">
              <a16:creationId xmlns:a16="http://schemas.microsoft.com/office/drawing/2014/main" id="{A8A0A141-AA4E-4AC8-9686-05CCAB86A45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499126" y="49183665"/>
          <a:ext cx="1428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216064</xdr:colOff>
      <xdr:row>0</xdr:row>
      <xdr:rowOff>170673</xdr:rowOff>
    </xdr:from>
    <xdr:to>
      <xdr:col>24</xdr:col>
      <xdr:colOff>79960</xdr:colOff>
      <xdr:row>2</xdr:row>
      <xdr:rowOff>40239</xdr:rowOff>
    </xdr:to>
    <xdr:sp macro="" textlink="Current_Date">
      <xdr:nvSpPr>
        <xdr:cNvPr id="25" name="TextBox 24">
          <a:extLst>
            <a:ext uri="{FF2B5EF4-FFF2-40B4-BE49-F238E27FC236}">
              <a16:creationId xmlns:a16="http://schemas.microsoft.com/office/drawing/2014/main" id="{3D81A614-511D-40FB-99B5-ACBAC3126C47}"/>
            </a:ext>
          </a:extLst>
        </xdr:cNvPr>
        <xdr:cNvSpPr txBox="1"/>
      </xdr:nvSpPr>
      <xdr:spPr>
        <a:xfrm>
          <a:off x="13574877" y="170673"/>
          <a:ext cx="1078333" cy="250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8BFAB4-2A1D-48E6-B65A-34EB61A1937B}" type="TxLink">
            <a:rPr lang="en-US" sz="900" b="0" i="0" u="none" strike="noStrike">
              <a:solidFill>
                <a:srgbClr val="9DB0C0"/>
              </a:solidFill>
              <a:latin typeface="Aptos Narrow"/>
            </a:rPr>
            <a:pPr/>
            <a:t>21/09/2026</a:t>
          </a:fld>
          <a:endParaRPr lang="en-US" sz="900" b="1">
            <a:solidFill>
              <a:srgbClr val="9DB0C0"/>
            </a:solidFill>
          </a:endParaRPr>
        </a:p>
      </xdr:txBody>
    </xdr:sp>
    <xdr:clientData/>
  </xdr:twoCellAnchor>
  <xdr:twoCellAnchor>
    <xdr:from>
      <xdr:col>4</xdr:col>
      <xdr:colOff>567654</xdr:colOff>
      <xdr:row>8</xdr:row>
      <xdr:rowOff>90277</xdr:rowOff>
    </xdr:from>
    <xdr:to>
      <xdr:col>9</xdr:col>
      <xdr:colOff>544316</xdr:colOff>
      <xdr:row>23</xdr:row>
      <xdr:rowOff>35858</xdr:rowOff>
    </xdr:to>
    <xdr:sp macro="" textlink="">
      <xdr:nvSpPr>
        <xdr:cNvPr id="54" name="Rectangle: Rounded Corners 53">
          <a:extLst>
            <a:ext uri="{FF2B5EF4-FFF2-40B4-BE49-F238E27FC236}">
              <a16:creationId xmlns:a16="http://schemas.microsoft.com/office/drawing/2014/main" id="{E79C6DD1-9D82-8E25-9139-C2B342826176}"/>
            </a:ext>
          </a:extLst>
        </xdr:cNvPr>
        <xdr:cNvSpPr/>
      </xdr:nvSpPr>
      <xdr:spPr>
        <a:xfrm>
          <a:off x="2996529" y="1614277"/>
          <a:ext cx="3012756" cy="2803081"/>
        </a:xfrm>
        <a:prstGeom prst="roundRect">
          <a:avLst>
            <a:gd name="adj" fmla="val 2932"/>
          </a:avLst>
        </a:prstGeom>
        <a:solidFill>
          <a:srgbClr val="FDFEFE"/>
        </a:solidFill>
        <a:ln>
          <a:solidFill>
            <a:srgbClr val="FDFEF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490750</xdr:colOff>
      <xdr:row>3</xdr:row>
      <xdr:rowOff>77416</xdr:rowOff>
    </xdr:from>
    <xdr:to>
      <xdr:col>12</xdr:col>
      <xdr:colOff>262680</xdr:colOff>
      <xdr:row>7</xdr:row>
      <xdr:rowOff>183016</xdr:rowOff>
    </xdr:to>
    <xdr:grpSp>
      <xdr:nvGrpSpPr>
        <xdr:cNvPr id="43" name="Group 42">
          <a:extLst>
            <a:ext uri="{FF2B5EF4-FFF2-40B4-BE49-F238E27FC236}">
              <a16:creationId xmlns:a16="http://schemas.microsoft.com/office/drawing/2014/main" id="{97BBB2CC-2996-1C20-46E2-A45E04B0FE21}"/>
            </a:ext>
          </a:extLst>
        </xdr:cNvPr>
        <xdr:cNvGrpSpPr/>
      </xdr:nvGrpSpPr>
      <xdr:grpSpPr>
        <a:xfrm>
          <a:off x="5379052" y="643524"/>
          <a:ext cx="2216081" cy="860412"/>
          <a:chOff x="4702369" y="671328"/>
          <a:chExt cx="2192400" cy="867600"/>
        </a:xfrm>
      </xdr:grpSpPr>
      <xdr:sp macro="" textlink="">
        <xdr:nvSpPr>
          <xdr:cNvPr id="5" name="Rectangle: Rounded Corners 4">
            <a:extLst>
              <a:ext uri="{FF2B5EF4-FFF2-40B4-BE49-F238E27FC236}">
                <a16:creationId xmlns:a16="http://schemas.microsoft.com/office/drawing/2014/main" id="{3064DE0A-7613-425A-BF49-1A17E42D8FA1}"/>
              </a:ext>
            </a:extLst>
          </xdr:cNvPr>
          <xdr:cNvSpPr/>
        </xdr:nvSpPr>
        <xdr:spPr>
          <a:xfrm>
            <a:off x="4702369" y="671328"/>
            <a:ext cx="2192400" cy="867600"/>
          </a:xfrm>
          <a:prstGeom prst="roundRect">
            <a:avLst>
              <a:gd name="adj" fmla="val 2932"/>
            </a:avLst>
          </a:prstGeom>
          <a:solidFill>
            <a:srgbClr val="EBF8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AA17D604-64DB-4042-A60C-F924E6EFE1FC}"/>
              </a:ext>
            </a:extLst>
          </xdr:cNvPr>
          <xdr:cNvSpPr txBox="1"/>
        </xdr:nvSpPr>
        <xdr:spPr>
          <a:xfrm>
            <a:off x="5016465" y="728909"/>
            <a:ext cx="1265652" cy="289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rgbClr val="1A1A1A"/>
                </a:solidFill>
              </a:rPr>
              <a:t>On-Time Delivery</a:t>
            </a:r>
            <a:r>
              <a:rPr lang="en-US" sz="900" b="0" baseline="0">
                <a:solidFill>
                  <a:srgbClr val="1A1A1A"/>
                </a:solidFill>
              </a:rPr>
              <a:t> Rate</a:t>
            </a:r>
            <a:endParaRPr lang="en-US" sz="900" b="0">
              <a:solidFill>
                <a:srgbClr val="1A1A1A"/>
              </a:solidFill>
            </a:endParaRPr>
          </a:p>
        </xdr:txBody>
      </xdr:sp>
      <xdr:pic>
        <xdr:nvPicPr>
          <xdr:cNvPr id="19" name="Picture 18">
            <a:extLst>
              <a:ext uri="{FF2B5EF4-FFF2-40B4-BE49-F238E27FC236}">
                <a16:creationId xmlns:a16="http://schemas.microsoft.com/office/drawing/2014/main" id="{54AC84C8-9D4B-4531-AC7A-10A698977BE9}"/>
              </a:ext>
            </a:extLst>
          </xdr:cNvPr>
          <xdr:cNvPicPr>
            <a:picLocks noChangeAspect="1"/>
          </xdr:cNvPicPr>
        </xdr:nvPicPr>
        <xdr:blipFill>
          <a:blip xmlns:r="http://schemas.openxmlformats.org/officeDocument/2006/relationships" r:embed="rId6"/>
          <a:stretch>
            <a:fillRect/>
          </a:stretch>
        </xdr:blipFill>
        <xdr:spPr>
          <a:xfrm>
            <a:off x="4762317" y="705123"/>
            <a:ext cx="252000" cy="248112"/>
          </a:xfrm>
          <a:prstGeom prst="rect">
            <a:avLst/>
          </a:prstGeom>
        </xdr:spPr>
      </xdr:pic>
      <xdr:sp macro="" textlink="ontme_del">
        <xdr:nvSpPr>
          <xdr:cNvPr id="72" name="TextBox 71">
            <a:extLst>
              <a:ext uri="{FF2B5EF4-FFF2-40B4-BE49-F238E27FC236}">
                <a16:creationId xmlns:a16="http://schemas.microsoft.com/office/drawing/2014/main" id="{0F07A965-EB70-E2B1-B31E-9F2377B3C991}"/>
              </a:ext>
            </a:extLst>
          </xdr:cNvPr>
          <xdr:cNvSpPr txBox="1"/>
        </xdr:nvSpPr>
        <xdr:spPr>
          <a:xfrm>
            <a:off x="5334830" y="1044136"/>
            <a:ext cx="869335" cy="289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FFB36E-208D-4B46-9176-7AA8BFC572E5}" type="TxLink">
              <a:rPr lang="en-US" sz="1800" b="1" i="0" u="none" strike="noStrike">
                <a:solidFill>
                  <a:srgbClr val="000000"/>
                </a:solidFill>
                <a:latin typeface="Aptos Narrow"/>
              </a:rPr>
              <a:pPr/>
              <a:t>84%</a:t>
            </a:fld>
            <a:endParaRPr lang="en-US" sz="1800" b="1">
              <a:solidFill>
                <a:srgbClr val="1A1A1A"/>
              </a:solidFill>
            </a:endParaRPr>
          </a:p>
        </xdr:txBody>
      </xdr:sp>
    </xdr:grpSp>
    <xdr:clientData/>
  </xdr:twoCellAnchor>
  <xdr:twoCellAnchor>
    <xdr:from>
      <xdr:col>12</xdr:col>
      <xdr:colOff>371039</xdr:colOff>
      <xdr:row>3</xdr:row>
      <xdr:rowOff>77416</xdr:rowOff>
    </xdr:from>
    <xdr:to>
      <xdr:col>16</xdr:col>
      <xdr:colOff>142968</xdr:colOff>
      <xdr:row>7</xdr:row>
      <xdr:rowOff>183016</xdr:rowOff>
    </xdr:to>
    <xdr:grpSp>
      <xdr:nvGrpSpPr>
        <xdr:cNvPr id="44" name="Group 43">
          <a:extLst>
            <a:ext uri="{FF2B5EF4-FFF2-40B4-BE49-F238E27FC236}">
              <a16:creationId xmlns:a16="http://schemas.microsoft.com/office/drawing/2014/main" id="{165A0A5C-1BF7-A23F-0D5D-2E064161CCF0}"/>
            </a:ext>
          </a:extLst>
        </xdr:cNvPr>
        <xdr:cNvGrpSpPr/>
      </xdr:nvGrpSpPr>
      <xdr:grpSpPr>
        <a:xfrm>
          <a:off x="7703492" y="643524"/>
          <a:ext cx="2216080" cy="860412"/>
          <a:chOff x="7010731" y="693739"/>
          <a:chExt cx="2192400" cy="867600"/>
        </a:xfrm>
      </xdr:grpSpPr>
      <xdr:sp macro="" textlink="">
        <xdr:nvSpPr>
          <xdr:cNvPr id="6" name="Rectangle: Rounded Corners 5">
            <a:extLst>
              <a:ext uri="{FF2B5EF4-FFF2-40B4-BE49-F238E27FC236}">
                <a16:creationId xmlns:a16="http://schemas.microsoft.com/office/drawing/2014/main" id="{F31BB867-D382-4899-9D1A-1B1F510FE580}"/>
              </a:ext>
            </a:extLst>
          </xdr:cNvPr>
          <xdr:cNvSpPr/>
        </xdr:nvSpPr>
        <xdr:spPr>
          <a:xfrm>
            <a:off x="7010731" y="693739"/>
            <a:ext cx="2192400" cy="867600"/>
          </a:xfrm>
          <a:prstGeom prst="roundRect">
            <a:avLst>
              <a:gd name="adj" fmla="val 2932"/>
            </a:avLst>
          </a:prstGeom>
          <a:solidFill>
            <a:srgbClr val="F6F2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7374A497-A1C6-40D6-ABBA-BF4FD8AE5276}"/>
              </a:ext>
            </a:extLst>
          </xdr:cNvPr>
          <xdr:cNvSpPr txBox="1"/>
        </xdr:nvSpPr>
        <xdr:spPr>
          <a:xfrm>
            <a:off x="7370756" y="743039"/>
            <a:ext cx="1458444" cy="289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rgbClr val="1A1A1A"/>
                </a:solidFill>
              </a:rPr>
              <a:t>Damage Rate</a:t>
            </a:r>
          </a:p>
        </xdr:txBody>
      </xdr:sp>
      <xdr:pic>
        <xdr:nvPicPr>
          <xdr:cNvPr id="20" name="Picture 19">
            <a:extLst>
              <a:ext uri="{FF2B5EF4-FFF2-40B4-BE49-F238E27FC236}">
                <a16:creationId xmlns:a16="http://schemas.microsoft.com/office/drawing/2014/main" id="{83DF5207-318F-4B4A-AC17-01B548C2F789}"/>
              </a:ext>
            </a:extLst>
          </xdr:cNvPr>
          <xdr:cNvPicPr>
            <a:picLocks noChangeAspect="1"/>
          </xdr:cNvPicPr>
        </xdr:nvPicPr>
        <xdr:blipFill>
          <a:blip xmlns:r="http://schemas.openxmlformats.org/officeDocument/2006/relationships" r:embed="rId7"/>
          <a:stretch>
            <a:fillRect/>
          </a:stretch>
        </xdr:blipFill>
        <xdr:spPr>
          <a:xfrm>
            <a:off x="7090934" y="727534"/>
            <a:ext cx="255313" cy="248112"/>
          </a:xfrm>
          <a:prstGeom prst="rect">
            <a:avLst/>
          </a:prstGeom>
        </xdr:spPr>
      </xdr:pic>
      <xdr:sp macro="" textlink="dmg_rate">
        <xdr:nvSpPr>
          <xdr:cNvPr id="73" name="TextBox 72">
            <a:extLst>
              <a:ext uri="{FF2B5EF4-FFF2-40B4-BE49-F238E27FC236}">
                <a16:creationId xmlns:a16="http://schemas.microsoft.com/office/drawing/2014/main" id="{E6F3EDF1-7A34-DABC-4224-A62203ECF122}"/>
              </a:ext>
            </a:extLst>
          </xdr:cNvPr>
          <xdr:cNvSpPr txBox="1"/>
        </xdr:nvSpPr>
        <xdr:spPr>
          <a:xfrm>
            <a:off x="7477587" y="1074830"/>
            <a:ext cx="1060320" cy="289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DC1004-0337-4D9D-91CC-6F742569D2A5}" type="TxLink">
              <a:rPr lang="en-US" sz="1800" b="1" i="0" u="none" strike="noStrike">
                <a:solidFill>
                  <a:srgbClr val="000000"/>
                </a:solidFill>
                <a:latin typeface="Aptos Narrow"/>
              </a:rPr>
              <a:pPr/>
              <a:t>1.89%</a:t>
            </a:fld>
            <a:endParaRPr lang="en-US" sz="1800" b="1">
              <a:solidFill>
                <a:srgbClr val="1A1A1A"/>
              </a:solidFill>
            </a:endParaRPr>
          </a:p>
        </xdr:txBody>
      </xdr:sp>
    </xdr:grpSp>
    <xdr:clientData/>
  </xdr:twoCellAnchor>
  <xdr:twoCellAnchor>
    <xdr:from>
      <xdr:col>16</xdr:col>
      <xdr:colOff>251327</xdr:colOff>
      <xdr:row>3</xdr:row>
      <xdr:rowOff>77416</xdr:rowOff>
    </xdr:from>
    <xdr:to>
      <xdr:col>20</xdr:col>
      <xdr:colOff>21156</xdr:colOff>
      <xdr:row>7</xdr:row>
      <xdr:rowOff>183016</xdr:rowOff>
    </xdr:to>
    <xdr:grpSp>
      <xdr:nvGrpSpPr>
        <xdr:cNvPr id="45" name="Group 44">
          <a:extLst>
            <a:ext uri="{FF2B5EF4-FFF2-40B4-BE49-F238E27FC236}">
              <a16:creationId xmlns:a16="http://schemas.microsoft.com/office/drawing/2014/main" id="{D0580AED-D70A-913B-111E-DEBF34E0643F}"/>
            </a:ext>
          </a:extLst>
        </xdr:cNvPr>
        <xdr:cNvGrpSpPr/>
      </xdr:nvGrpSpPr>
      <xdr:grpSpPr>
        <a:xfrm>
          <a:off x="10027931" y="643524"/>
          <a:ext cx="2213980" cy="860412"/>
          <a:chOff x="9330303" y="716151"/>
          <a:chExt cx="2192400" cy="867600"/>
        </a:xfrm>
      </xdr:grpSpPr>
      <xdr:sp macro="" textlink="">
        <xdr:nvSpPr>
          <xdr:cNvPr id="7" name="Rectangle: Rounded Corners 6">
            <a:extLst>
              <a:ext uri="{FF2B5EF4-FFF2-40B4-BE49-F238E27FC236}">
                <a16:creationId xmlns:a16="http://schemas.microsoft.com/office/drawing/2014/main" id="{ED802E99-D03D-4416-B3B7-9F01B44A8347}"/>
              </a:ext>
            </a:extLst>
          </xdr:cNvPr>
          <xdr:cNvSpPr/>
        </xdr:nvSpPr>
        <xdr:spPr>
          <a:xfrm>
            <a:off x="9330303" y="716151"/>
            <a:ext cx="2192400" cy="867600"/>
          </a:xfrm>
          <a:prstGeom prst="roundRect">
            <a:avLst>
              <a:gd name="adj" fmla="val 2932"/>
            </a:avLst>
          </a:prstGeom>
          <a:solidFill>
            <a:srgbClr val="ECF8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5500BCD5-8C17-46F1-AC65-F02C52E18752}"/>
              </a:ext>
            </a:extLst>
          </xdr:cNvPr>
          <xdr:cNvSpPr txBox="1"/>
        </xdr:nvSpPr>
        <xdr:spPr>
          <a:xfrm>
            <a:off x="9610577" y="773733"/>
            <a:ext cx="1279593" cy="289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rgbClr val="1A1A1A"/>
                </a:solidFill>
              </a:rPr>
              <a:t>Total</a:t>
            </a:r>
            <a:r>
              <a:rPr lang="en-US" sz="900" b="0" baseline="0">
                <a:solidFill>
                  <a:srgbClr val="1A1A1A"/>
                </a:solidFill>
              </a:rPr>
              <a:t> Freight Cost</a:t>
            </a:r>
            <a:endParaRPr lang="en-US" sz="900" b="0">
              <a:solidFill>
                <a:srgbClr val="1A1A1A"/>
              </a:solidFill>
            </a:endParaRPr>
          </a:p>
        </xdr:txBody>
      </xdr:sp>
      <xdr:pic>
        <xdr:nvPicPr>
          <xdr:cNvPr id="30" name="Picture 29">
            <a:extLst>
              <a:ext uri="{FF2B5EF4-FFF2-40B4-BE49-F238E27FC236}">
                <a16:creationId xmlns:a16="http://schemas.microsoft.com/office/drawing/2014/main" id="{CE1D3CAF-0C75-7819-EB5E-F89843D7E888}"/>
              </a:ext>
            </a:extLst>
          </xdr:cNvPr>
          <xdr:cNvPicPr>
            <a:picLocks noChangeAspect="1"/>
          </xdr:cNvPicPr>
        </xdr:nvPicPr>
        <xdr:blipFill>
          <a:blip xmlns:r="http://schemas.openxmlformats.org/officeDocument/2006/relationships" r:embed="rId8"/>
          <a:stretch>
            <a:fillRect/>
          </a:stretch>
        </xdr:blipFill>
        <xdr:spPr>
          <a:xfrm>
            <a:off x="9372990" y="749946"/>
            <a:ext cx="237005" cy="244800"/>
          </a:xfrm>
          <a:prstGeom prst="rect">
            <a:avLst/>
          </a:prstGeom>
        </xdr:spPr>
      </xdr:pic>
      <xdr:sp macro="" textlink="freight_cost">
        <xdr:nvSpPr>
          <xdr:cNvPr id="74" name="TextBox 73">
            <a:extLst>
              <a:ext uri="{FF2B5EF4-FFF2-40B4-BE49-F238E27FC236}">
                <a16:creationId xmlns:a16="http://schemas.microsoft.com/office/drawing/2014/main" id="{A763690F-CEA9-8AC4-BA8D-201F66CEFA80}"/>
              </a:ext>
            </a:extLst>
          </xdr:cNvPr>
          <xdr:cNvSpPr txBox="1"/>
        </xdr:nvSpPr>
        <xdr:spPr>
          <a:xfrm>
            <a:off x="9682710" y="1088473"/>
            <a:ext cx="1225972" cy="289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525347-1231-495B-A0AC-D937F8478959}" type="TxLink">
              <a:rPr lang="en-US" sz="1800" b="1" i="0" u="none" strike="noStrike">
                <a:solidFill>
                  <a:srgbClr val="000000"/>
                </a:solidFill>
                <a:latin typeface="Aptos Narrow"/>
              </a:rPr>
              <a:pPr/>
              <a:t>₦295.60M</a:t>
            </a:fld>
            <a:endParaRPr lang="en-US" sz="1800" b="1">
              <a:solidFill>
                <a:srgbClr val="1A1A1A"/>
              </a:solidFill>
            </a:endParaRPr>
          </a:p>
        </xdr:txBody>
      </xdr:sp>
    </xdr:grpSp>
    <xdr:clientData/>
  </xdr:twoCellAnchor>
  <xdr:twoCellAnchor>
    <xdr:from>
      <xdr:col>20</xdr:col>
      <xdr:colOff>131617</xdr:colOff>
      <xdr:row>3</xdr:row>
      <xdr:rowOff>77416</xdr:rowOff>
    </xdr:from>
    <xdr:to>
      <xdr:col>23</xdr:col>
      <xdr:colOff>508665</xdr:colOff>
      <xdr:row>7</xdr:row>
      <xdr:rowOff>183016</xdr:rowOff>
    </xdr:to>
    <xdr:grpSp>
      <xdr:nvGrpSpPr>
        <xdr:cNvPr id="46" name="Group 45">
          <a:extLst>
            <a:ext uri="{FF2B5EF4-FFF2-40B4-BE49-F238E27FC236}">
              <a16:creationId xmlns:a16="http://schemas.microsoft.com/office/drawing/2014/main" id="{7E7C4530-5C38-75C4-A734-ADE439C33B59}"/>
            </a:ext>
          </a:extLst>
        </xdr:cNvPr>
        <xdr:cNvGrpSpPr/>
      </xdr:nvGrpSpPr>
      <xdr:grpSpPr>
        <a:xfrm>
          <a:off x="12352372" y="643524"/>
          <a:ext cx="2210161" cy="860412"/>
          <a:chOff x="11605049" y="704946"/>
          <a:chExt cx="2192400" cy="867600"/>
        </a:xfrm>
      </xdr:grpSpPr>
      <xdr:sp macro="" textlink="">
        <xdr:nvSpPr>
          <xdr:cNvPr id="26" name="Rectangle: Rounded Corners 25">
            <a:extLst>
              <a:ext uri="{FF2B5EF4-FFF2-40B4-BE49-F238E27FC236}">
                <a16:creationId xmlns:a16="http://schemas.microsoft.com/office/drawing/2014/main" id="{D1F1288E-6D6C-4180-AAC7-412D1C4A7A29}"/>
              </a:ext>
            </a:extLst>
          </xdr:cNvPr>
          <xdr:cNvSpPr/>
        </xdr:nvSpPr>
        <xdr:spPr>
          <a:xfrm>
            <a:off x="11605049" y="704946"/>
            <a:ext cx="2192400" cy="867600"/>
          </a:xfrm>
          <a:prstGeom prst="roundRect">
            <a:avLst>
              <a:gd name="adj" fmla="val 2932"/>
            </a:avLst>
          </a:prstGeom>
          <a:solidFill>
            <a:srgbClr val="F6F2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a:extLst>
              <a:ext uri="{FF2B5EF4-FFF2-40B4-BE49-F238E27FC236}">
                <a16:creationId xmlns:a16="http://schemas.microsoft.com/office/drawing/2014/main" id="{0D9BDBA5-FCAB-4A73-85B4-0A7BDE29F18F}"/>
              </a:ext>
            </a:extLst>
          </xdr:cNvPr>
          <xdr:cNvSpPr txBox="1"/>
        </xdr:nvSpPr>
        <xdr:spPr>
          <a:xfrm>
            <a:off x="11821178" y="770809"/>
            <a:ext cx="1686534" cy="289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rgbClr val="1A1A1A"/>
                </a:solidFill>
              </a:rPr>
              <a:t>Total Cost Variance</a:t>
            </a:r>
          </a:p>
        </xdr:txBody>
      </xdr:sp>
      <xdr:sp macro="" textlink="Avg_Score">
        <xdr:nvSpPr>
          <xdr:cNvPr id="75" name="TextBox 74">
            <a:extLst>
              <a:ext uri="{FF2B5EF4-FFF2-40B4-BE49-F238E27FC236}">
                <a16:creationId xmlns:a16="http://schemas.microsoft.com/office/drawing/2014/main" id="{00E07C41-03E6-E9D6-EA5F-308A9481A6D7}"/>
              </a:ext>
            </a:extLst>
          </xdr:cNvPr>
          <xdr:cNvSpPr txBox="1"/>
        </xdr:nvSpPr>
        <xdr:spPr>
          <a:xfrm>
            <a:off x="12044225" y="1054856"/>
            <a:ext cx="1495321" cy="289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917C0B-234A-4285-B5E9-177D230BE9B9}" type="TxLink">
              <a:rPr lang="en-US" sz="1800" b="1" i="0" u="none" strike="noStrike">
                <a:solidFill>
                  <a:srgbClr val="000000"/>
                </a:solidFill>
                <a:latin typeface="Aptos Narrow"/>
              </a:rPr>
              <a:pPr/>
              <a:t>-₦6701.9K</a:t>
            </a:fld>
            <a:endParaRPr lang="en-US" sz="1800" b="1" i="0" u="none" strike="noStrike">
              <a:solidFill>
                <a:srgbClr val="1A1A1A"/>
              </a:solidFill>
              <a:latin typeface="Aptos Narrow"/>
            </a:endParaRPr>
          </a:p>
        </xdr:txBody>
      </xdr:sp>
      <xdr:pic>
        <xdr:nvPicPr>
          <xdr:cNvPr id="77" name="Graphic 76" descr="Coins with solid fill">
            <a:extLst>
              <a:ext uri="{FF2B5EF4-FFF2-40B4-BE49-F238E27FC236}">
                <a16:creationId xmlns:a16="http://schemas.microsoft.com/office/drawing/2014/main" id="{86779C71-A5D9-8E23-0570-EFDD062AD6D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645834" y="738741"/>
            <a:ext cx="237005" cy="244800"/>
          </a:xfrm>
          <a:prstGeom prst="rect">
            <a:avLst/>
          </a:prstGeom>
        </xdr:spPr>
      </xdr:pic>
    </xdr:grpSp>
    <xdr:clientData/>
  </xdr:twoCellAnchor>
  <xdr:twoCellAnchor>
    <xdr:from>
      <xdr:col>5</xdr:col>
      <xdr:colOff>4773</xdr:colOff>
      <xdr:row>3</xdr:row>
      <xdr:rowOff>77416</xdr:rowOff>
    </xdr:from>
    <xdr:to>
      <xdr:col>8</xdr:col>
      <xdr:colOff>382391</xdr:colOff>
      <xdr:row>7</xdr:row>
      <xdr:rowOff>181608</xdr:rowOff>
    </xdr:to>
    <xdr:grpSp>
      <xdr:nvGrpSpPr>
        <xdr:cNvPr id="42" name="Group 41">
          <a:extLst>
            <a:ext uri="{FF2B5EF4-FFF2-40B4-BE49-F238E27FC236}">
              <a16:creationId xmlns:a16="http://schemas.microsoft.com/office/drawing/2014/main" id="{775183A0-EE1A-D362-E104-E8C67D1F2E20}"/>
            </a:ext>
          </a:extLst>
        </xdr:cNvPr>
        <xdr:cNvGrpSpPr/>
      </xdr:nvGrpSpPr>
      <xdr:grpSpPr>
        <a:xfrm>
          <a:off x="3059962" y="643524"/>
          <a:ext cx="2210731" cy="859004"/>
          <a:chOff x="2403542" y="648916"/>
          <a:chExt cx="2190870" cy="866192"/>
        </a:xfrm>
      </xdr:grpSpPr>
      <xdr:sp macro="" textlink="">
        <xdr:nvSpPr>
          <xdr:cNvPr id="4" name="Rectangle: Rounded Corners 3">
            <a:extLst>
              <a:ext uri="{FF2B5EF4-FFF2-40B4-BE49-F238E27FC236}">
                <a16:creationId xmlns:a16="http://schemas.microsoft.com/office/drawing/2014/main" id="{4494BA50-EEB2-4438-B937-07D46A359657}"/>
              </a:ext>
            </a:extLst>
          </xdr:cNvPr>
          <xdr:cNvSpPr/>
        </xdr:nvSpPr>
        <xdr:spPr>
          <a:xfrm>
            <a:off x="2403542" y="648916"/>
            <a:ext cx="2190870" cy="866192"/>
          </a:xfrm>
          <a:prstGeom prst="roundRect">
            <a:avLst>
              <a:gd name="adj" fmla="val 2932"/>
            </a:avLst>
          </a:prstGeom>
          <a:solidFill>
            <a:srgbClr val="EBF5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CF63636D-F8E6-44AA-8621-CFA5EC854F03}"/>
              </a:ext>
            </a:extLst>
          </xdr:cNvPr>
          <xdr:cNvSpPr txBox="1"/>
        </xdr:nvSpPr>
        <xdr:spPr>
          <a:xfrm>
            <a:off x="2741396" y="714780"/>
            <a:ext cx="1458446" cy="289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rgbClr val="1A1A1A"/>
                </a:solidFill>
              </a:rPr>
              <a:t>Average Delay Days</a:t>
            </a:r>
          </a:p>
        </xdr:txBody>
      </xdr:sp>
      <xdr:sp macro="" textlink="delay_days">
        <xdr:nvSpPr>
          <xdr:cNvPr id="71" name="TextBox 70">
            <a:extLst>
              <a:ext uri="{FF2B5EF4-FFF2-40B4-BE49-F238E27FC236}">
                <a16:creationId xmlns:a16="http://schemas.microsoft.com/office/drawing/2014/main" id="{34DA745E-4B32-A4B9-C22F-FB4AE5F2B683}"/>
              </a:ext>
            </a:extLst>
          </xdr:cNvPr>
          <xdr:cNvSpPr txBox="1"/>
        </xdr:nvSpPr>
        <xdr:spPr>
          <a:xfrm>
            <a:off x="2979156" y="1021725"/>
            <a:ext cx="861539" cy="289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CBD4F9-6092-4F2F-BD0C-7B7D95E4A130}" type="TxLink">
              <a:rPr lang="en-US" sz="1800" b="1" i="0" u="none" strike="noStrike">
                <a:solidFill>
                  <a:srgbClr val="000000"/>
                </a:solidFill>
                <a:latin typeface="Aptos Narrow"/>
              </a:rPr>
              <a:pPr/>
              <a:t>1.59</a:t>
            </a:fld>
            <a:endParaRPr lang="en-US" sz="1800" b="1">
              <a:solidFill>
                <a:srgbClr val="1A1A1A"/>
              </a:solidFill>
            </a:endParaRPr>
          </a:p>
        </xdr:txBody>
      </xdr:sp>
      <xdr:pic>
        <xdr:nvPicPr>
          <xdr:cNvPr id="78" name="Picture 77">
            <a:extLst>
              <a:ext uri="{FF2B5EF4-FFF2-40B4-BE49-F238E27FC236}">
                <a16:creationId xmlns:a16="http://schemas.microsoft.com/office/drawing/2014/main" id="{5752FEF9-EE51-672F-1AA3-77419CC47515}"/>
              </a:ext>
            </a:extLst>
          </xdr:cNvPr>
          <xdr:cNvPicPr>
            <a:picLocks noChangeAspect="1"/>
          </xdr:cNvPicPr>
        </xdr:nvPicPr>
        <xdr:blipFill>
          <a:blip xmlns:r="http://schemas.openxmlformats.org/officeDocument/2006/relationships" r:embed="rId11"/>
          <a:stretch>
            <a:fillRect/>
          </a:stretch>
        </xdr:blipFill>
        <xdr:spPr>
          <a:xfrm>
            <a:off x="2492090" y="703412"/>
            <a:ext cx="244800" cy="244800"/>
          </a:xfrm>
          <a:prstGeom prst="rect">
            <a:avLst/>
          </a:prstGeom>
        </xdr:spPr>
      </xdr:pic>
    </xdr:grpSp>
    <xdr:clientData/>
  </xdr:twoCellAnchor>
  <xdr:twoCellAnchor editAs="oneCell">
    <xdr:from>
      <xdr:col>1</xdr:col>
      <xdr:colOff>37447</xdr:colOff>
      <xdr:row>0</xdr:row>
      <xdr:rowOff>94732</xdr:rowOff>
    </xdr:from>
    <xdr:to>
      <xdr:col>1</xdr:col>
      <xdr:colOff>361447</xdr:colOff>
      <xdr:row>2</xdr:row>
      <xdr:rowOff>37732</xdr:rowOff>
    </xdr:to>
    <xdr:pic>
      <xdr:nvPicPr>
        <xdr:cNvPr id="79" name="Picture 78">
          <a:extLst>
            <a:ext uri="{FF2B5EF4-FFF2-40B4-BE49-F238E27FC236}">
              <a16:creationId xmlns:a16="http://schemas.microsoft.com/office/drawing/2014/main" id="{5FD79BB1-B0EC-3EF2-2B53-116636F483BC}"/>
            </a:ext>
          </a:extLst>
        </xdr:cNvPr>
        <xdr:cNvPicPr>
          <a:picLocks noChangeAspect="1"/>
        </xdr:cNvPicPr>
      </xdr:nvPicPr>
      <xdr:blipFill>
        <a:blip xmlns:r="http://schemas.openxmlformats.org/officeDocument/2006/relationships" r:embed="rId12"/>
        <a:stretch>
          <a:fillRect/>
        </a:stretch>
      </xdr:blipFill>
      <xdr:spPr>
        <a:xfrm>
          <a:off x="644666" y="94732"/>
          <a:ext cx="324000" cy="324000"/>
        </a:xfrm>
        <a:prstGeom prst="rect">
          <a:avLst/>
        </a:prstGeom>
      </xdr:spPr>
    </xdr:pic>
    <xdr:clientData/>
  </xdr:twoCellAnchor>
  <xdr:twoCellAnchor>
    <xdr:from>
      <xdr:col>4</xdr:col>
      <xdr:colOff>549286</xdr:colOff>
      <xdr:row>9</xdr:row>
      <xdr:rowOff>169210</xdr:rowOff>
    </xdr:from>
    <xdr:to>
      <xdr:col>9</xdr:col>
      <xdr:colOff>539273</xdr:colOff>
      <xdr:row>22</xdr:row>
      <xdr:rowOff>129982</xdr:rowOff>
    </xdr:to>
    <xdr:graphicFrame macro="">
      <xdr:nvGraphicFramePr>
        <xdr:cNvPr id="80" name="Chart 79">
          <a:extLst>
            <a:ext uri="{FF2B5EF4-FFF2-40B4-BE49-F238E27FC236}">
              <a16:creationId xmlns:a16="http://schemas.microsoft.com/office/drawing/2014/main" id="{BF2934C5-3776-4A55-96D1-60FE39F58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582417</xdr:colOff>
      <xdr:row>8</xdr:row>
      <xdr:rowOff>112059</xdr:rowOff>
    </xdr:from>
    <xdr:to>
      <xdr:col>9</xdr:col>
      <xdr:colOff>558417</xdr:colOff>
      <xdr:row>10</xdr:row>
      <xdr:rowOff>45384</xdr:rowOff>
    </xdr:to>
    <xdr:sp macro="" textlink="">
      <xdr:nvSpPr>
        <xdr:cNvPr id="85" name="Rectangle: Top Corners Rounded 84">
          <a:extLst>
            <a:ext uri="{FF2B5EF4-FFF2-40B4-BE49-F238E27FC236}">
              <a16:creationId xmlns:a16="http://schemas.microsoft.com/office/drawing/2014/main" id="{94164FBD-0AFF-ADBE-F130-9E07D70DA20E}"/>
            </a:ext>
          </a:extLst>
        </xdr:cNvPr>
        <xdr:cNvSpPr/>
      </xdr:nvSpPr>
      <xdr:spPr>
        <a:xfrm>
          <a:off x="3011292" y="1636059"/>
          <a:ext cx="3012094" cy="314325"/>
        </a:xfrm>
        <a:prstGeom prst="round2SameRect">
          <a:avLst>
            <a:gd name="adj1" fmla="val 26979"/>
            <a:gd name="adj2" fmla="val 0"/>
          </a:avLst>
        </a:prstGeom>
        <a:solidFill>
          <a:srgbClr val="2B2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10496</xdr:colOff>
      <xdr:row>8</xdr:row>
      <xdr:rowOff>146797</xdr:rowOff>
    </xdr:from>
    <xdr:to>
      <xdr:col>9</xdr:col>
      <xdr:colOff>496691</xdr:colOff>
      <xdr:row>10</xdr:row>
      <xdr:rowOff>14007</xdr:rowOff>
    </xdr:to>
    <xdr:sp macro="" textlink="">
      <xdr:nvSpPr>
        <xdr:cNvPr id="86" name="TextBox 85">
          <a:extLst>
            <a:ext uri="{FF2B5EF4-FFF2-40B4-BE49-F238E27FC236}">
              <a16:creationId xmlns:a16="http://schemas.microsoft.com/office/drawing/2014/main" id="{8E954C6C-F6D5-5FFB-B762-C79E08426EB6}"/>
            </a:ext>
          </a:extLst>
        </xdr:cNvPr>
        <xdr:cNvSpPr txBox="1"/>
      </xdr:nvSpPr>
      <xdr:spPr>
        <a:xfrm>
          <a:off x="3046590" y="1670797"/>
          <a:ext cx="2915070" cy="248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C29A2B"/>
              </a:solidFill>
            </a:rPr>
            <a:t>SunCore sets the pace among suppliers</a:t>
          </a:r>
        </a:p>
      </xdr:txBody>
    </xdr:sp>
    <xdr:clientData/>
  </xdr:twoCellAnchor>
  <xdr:twoCellAnchor>
    <xdr:from>
      <xdr:col>10</xdr:col>
      <xdr:colOff>64880</xdr:colOff>
      <xdr:row>8</xdr:row>
      <xdr:rowOff>90277</xdr:rowOff>
    </xdr:from>
    <xdr:to>
      <xdr:col>16</xdr:col>
      <xdr:colOff>285110</xdr:colOff>
      <xdr:row>23</xdr:row>
      <xdr:rowOff>35858</xdr:rowOff>
    </xdr:to>
    <xdr:sp macro="" textlink="">
      <xdr:nvSpPr>
        <xdr:cNvPr id="89" name="Rectangle: Rounded Corners 88">
          <a:extLst>
            <a:ext uri="{FF2B5EF4-FFF2-40B4-BE49-F238E27FC236}">
              <a16:creationId xmlns:a16="http://schemas.microsoft.com/office/drawing/2014/main" id="{5CAA1315-FCF5-A01D-0241-59899FDE8DF6}"/>
            </a:ext>
          </a:extLst>
        </xdr:cNvPr>
        <xdr:cNvSpPr/>
      </xdr:nvSpPr>
      <xdr:spPr>
        <a:xfrm>
          <a:off x="6175257" y="1599900"/>
          <a:ext cx="3886457" cy="2776123"/>
        </a:xfrm>
        <a:prstGeom prst="roundRect">
          <a:avLst>
            <a:gd name="adj" fmla="val 2932"/>
          </a:avLst>
        </a:prstGeom>
        <a:solidFill>
          <a:srgbClr val="FDFEFE"/>
        </a:solidFill>
        <a:ln>
          <a:solidFill>
            <a:srgbClr val="FDFEF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68067</xdr:colOff>
      <xdr:row>8</xdr:row>
      <xdr:rowOff>112059</xdr:rowOff>
    </xdr:from>
    <xdr:to>
      <xdr:col>16</xdr:col>
      <xdr:colOff>262195</xdr:colOff>
      <xdr:row>10</xdr:row>
      <xdr:rowOff>45384</xdr:rowOff>
    </xdr:to>
    <xdr:sp macro="" textlink="">
      <xdr:nvSpPr>
        <xdr:cNvPr id="90" name="Rectangle: Top Corners Rounded 89">
          <a:extLst>
            <a:ext uri="{FF2B5EF4-FFF2-40B4-BE49-F238E27FC236}">
              <a16:creationId xmlns:a16="http://schemas.microsoft.com/office/drawing/2014/main" id="{C1EADE1F-FD02-7469-D565-3E0382803C05}"/>
            </a:ext>
          </a:extLst>
        </xdr:cNvPr>
        <xdr:cNvSpPr/>
      </xdr:nvSpPr>
      <xdr:spPr>
        <a:xfrm>
          <a:off x="6140255" y="1636059"/>
          <a:ext cx="3837440" cy="314325"/>
        </a:xfrm>
        <a:prstGeom prst="round2SameRect">
          <a:avLst>
            <a:gd name="adj1" fmla="val 26979"/>
            <a:gd name="adj2" fmla="val 0"/>
          </a:avLst>
        </a:prstGeom>
        <a:solidFill>
          <a:srgbClr val="2B2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60007</xdr:colOff>
      <xdr:row>9</xdr:row>
      <xdr:rowOff>145676</xdr:rowOff>
    </xdr:from>
    <xdr:to>
      <xdr:col>13</xdr:col>
      <xdr:colOff>273173</xdr:colOff>
      <xdr:row>22</xdr:row>
      <xdr:rowOff>161277</xdr:rowOff>
    </xdr:to>
    <xdr:graphicFrame macro="">
      <xdr:nvGraphicFramePr>
        <xdr:cNvPr id="99" name="Chart 98">
          <a:extLst>
            <a:ext uri="{FF2B5EF4-FFF2-40B4-BE49-F238E27FC236}">
              <a16:creationId xmlns:a16="http://schemas.microsoft.com/office/drawing/2014/main" id="{32CE50A9-E933-458A-8010-B13E8FDEC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69427</xdr:colOff>
      <xdr:row>10</xdr:row>
      <xdr:rowOff>0</xdr:rowOff>
    </xdr:from>
    <xdr:to>
      <xdr:col>16</xdr:col>
      <xdr:colOff>284463</xdr:colOff>
      <xdr:row>23</xdr:row>
      <xdr:rowOff>16856</xdr:rowOff>
    </xdr:to>
    <xdr:graphicFrame macro="">
      <xdr:nvGraphicFramePr>
        <xdr:cNvPr id="8" name="Chart 7">
          <a:extLst>
            <a:ext uri="{FF2B5EF4-FFF2-40B4-BE49-F238E27FC236}">
              <a16:creationId xmlns:a16="http://schemas.microsoft.com/office/drawing/2014/main" id="{2470998E-DC90-40BD-B050-A3C390640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148668</xdr:colOff>
      <xdr:row>8</xdr:row>
      <xdr:rowOff>137811</xdr:rowOff>
    </xdr:from>
    <xdr:to>
      <xdr:col>16</xdr:col>
      <xdr:colOff>277616</xdr:colOff>
      <xdr:row>10</xdr:row>
      <xdr:rowOff>5021</xdr:rowOff>
    </xdr:to>
    <xdr:sp macro="" textlink="">
      <xdr:nvSpPr>
        <xdr:cNvPr id="14" name="TextBox 13">
          <a:extLst>
            <a:ext uri="{FF2B5EF4-FFF2-40B4-BE49-F238E27FC236}">
              <a16:creationId xmlns:a16="http://schemas.microsoft.com/office/drawing/2014/main" id="{0F9070CC-DF0B-8CC2-ADB4-091898E1EB77}"/>
            </a:ext>
          </a:extLst>
        </xdr:cNvPr>
        <xdr:cNvSpPr txBox="1"/>
      </xdr:nvSpPr>
      <xdr:spPr>
        <a:xfrm>
          <a:off x="6259045" y="1647434"/>
          <a:ext cx="3795175" cy="244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C29A2B"/>
              </a:solidFill>
            </a:rPr>
            <a:t>The fastest suppliers are not always the safest</a:t>
          </a:r>
        </a:p>
      </xdr:txBody>
    </xdr:sp>
    <xdr:clientData/>
  </xdr:twoCellAnchor>
  <xdr:twoCellAnchor>
    <xdr:from>
      <xdr:col>4</xdr:col>
      <xdr:colOff>571496</xdr:colOff>
      <xdr:row>23</xdr:row>
      <xdr:rowOff>146799</xdr:rowOff>
    </xdr:from>
    <xdr:to>
      <xdr:col>15</xdr:col>
      <xdr:colOff>396331</xdr:colOff>
      <xdr:row>36</xdr:row>
      <xdr:rowOff>22412</xdr:rowOff>
    </xdr:to>
    <xdr:sp macro="" textlink="">
      <xdr:nvSpPr>
        <xdr:cNvPr id="24" name="Rectangle: Rounded Corners 23">
          <a:extLst>
            <a:ext uri="{FF2B5EF4-FFF2-40B4-BE49-F238E27FC236}">
              <a16:creationId xmlns:a16="http://schemas.microsoft.com/office/drawing/2014/main" id="{7307B98F-BDE1-A735-B294-269ABFD9D98F}"/>
            </a:ext>
          </a:extLst>
        </xdr:cNvPr>
        <xdr:cNvSpPr/>
      </xdr:nvSpPr>
      <xdr:spPr>
        <a:xfrm>
          <a:off x="3015647" y="4486964"/>
          <a:ext cx="6546250" cy="2328750"/>
        </a:xfrm>
        <a:prstGeom prst="roundRect">
          <a:avLst>
            <a:gd name="adj" fmla="val 2932"/>
          </a:avLst>
        </a:prstGeom>
        <a:solidFill>
          <a:srgbClr val="FDFEFE"/>
        </a:solidFill>
        <a:ln>
          <a:solidFill>
            <a:srgbClr val="FDFEF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581021</xdr:colOff>
      <xdr:row>23</xdr:row>
      <xdr:rowOff>152760</xdr:rowOff>
    </xdr:from>
    <xdr:to>
      <xdr:col>15</xdr:col>
      <xdr:colOff>373100</xdr:colOff>
      <xdr:row>25</xdr:row>
      <xdr:rowOff>97258</xdr:rowOff>
    </xdr:to>
    <xdr:sp macro="" textlink="">
      <xdr:nvSpPr>
        <xdr:cNvPr id="27" name="Rectangle: Top Corners Rounded 26">
          <a:extLst>
            <a:ext uri="{FF2B5EF4-FFF2-40B4-BE49-F238E27FC236}">
              <a16:creationId xmlns:a16="http://schemas.microsoft.com/office/drawing/2014/main" id="{CB78313F-4BFD-2492-116E-5250496344DA}"/>
            </a:ext>
          </a:extLst>
        </xdr:cNvPr>
        <xdr:cNvSpPr/>
      </xdr:nvSpPr>
      <xdr:spPr>
        <a:xfrm>
          <a:off x="3025172" y="4492925"/>
          <a:ext cx="6513494" cy="321904"/>
        </a:xfrm>
        <a:prstGeom prst="round2SameRect">
          <a:avLst>
            <a:gd name="adj1" fmla="val 26979"/>
            <a:gd name="adj2" fmla="val 0"/>
          </a:avLst>
        </a:prstGeom>
        <a:solidFill>
          <a:srgbClr val="2B2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570567</xdr:colOff>
      <xdr:row>26</xdr:row>
      <xdr:rowOff>28493</xdr:rowOff>
    </xdr:from>
    <xdr:to>
      <xdr:col>8</xdr:col>
      <xdr:colOff>280170</xdr:colOff>
      <xdr:row>35</xdr:row>
      <xdr:rowOff>174969</xdr:rowOff>
    </xdr:to>
    <xdr:graphicFrame macro="">
      <xdr:nvGraphicFramePr>
        <xdr:cNvPr id="29" name="Chart 28">
          <a:extLst>
            <a:ext uri="{FF2B5EF4-FFF2-40B4-BE49-F238E27FC236}">
              <a16:creationId xmlns:a16="http://schemas.microsoft.com/office/drawing/2014/main" id="{8BEE3E5C-E3F6-4CAA-909C-1EAE75E1F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319877</xdr:colOff>
      <xdr:row>26</xdr:row>
      <xdr:rowOff>28493</xdr:rowOff>
    </xdr:from>
    <xdr:to>
      <xdr:col>12</xdr:col>
      <xdr:colOff>31380</xdr:colOff>
      <xdr:row>35</xdr:row>
      <xdr:rowOff>174857</xdr:rowOff>
    </xdr:to>
    <xdr:graphicFrame macro="">
      <xdr:nvGraphicFramePr>
        <xdr:cNvPr id="32" name="Chart 31">
          <a:extLst>
            <a:ext uri="{FF2B5EF4-FFF2-40B4-BE49-F238E27FC236}">
              <a16:creationId xmlns:a16="http://schemas.microsoft.com/office/drawing/2014/main" id="{07844C06-007A-49B1-8AA2-E0C106196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71087</xdr:colOff>
      <xdr:row>26</xdr:row>
      <xdr:rowOff>28493</xdr:rowOff>
    </xdr:from>
    <xdr:to>
      <xdr:col>15</xdr:col>
      <xdr:colOff>386615</xdr:colOff>
      <xdr:row>35</xdr:row>
      <xdr:rowOff>174857</xdr:rowOff>
    </xdr:to>
    <xdr:graphicFrame macro="">
      <xdr:nvGraphicFramePr>
        <xdr:cNvPr id="33" name="Chart 32">
          <a:extLst>
            <a:ext uri="{FF2B5EF4-FFF2-40B4-BE49-F238E27FC236}">
              <a16:creationId xmlns:a16="http://schemas.microsoft.com/office/drawing/2014/main" id="{AC61556B-C19D-4646-8DEA-5AF0D51CE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24212</xdr:colOff>
      <xdr:row>23</xdr:row>
      <xdr:rowOff>188750</xdr:rowOff>
    </xdr:from>
    <xdr:to>
      <xdr:col>12</xdr:col>
      <xdr:colOff>142196</xdr:colOff>
      <xdr:row>25</xdr:row>
      <xdr:rowOff>51313</xdr:rowOff>
    </xdr:to>
    <xdr:sp macro="" textlink="">
      <xdr:nvSpPr>
        <xdr:cNvPr id="34" name="TextBox 33">
          <a:extLst>
            <a:ext uri="{FF2B5EF4-FFF2-40B4-BE49-F238E27FC236}">
              <a16:creationId xmlns:a16="http://schemas.microsoft.com/office/drawing/2014/main" id="{A005F313-6EFB-BA11-BDCA-E3F4A13C9168}"/>
            </a:ext>
          </a:extLst>
        </xdr:cNvPr>
        <xdr:cNvSpPr txBox="1"/>
      </xdr:nvSpPr>
      <xdr:spPr>
        <a:xfrm>
          <a:off x="3060306" y="4570250"/>
          <a:ext cx="4368515" cy="24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C29A2B"/>
              </a:solidFill>
            </a:rPr>
            <a:t>Distance adds cost and time, but not necessarily damage</a:t>
          </a:r>
        </a:p>
      </xdr:txBody>
    </xdr:sp>
    <xdr:clientData/>
  </xdr:twoCellAnchor>
  <xdr:twoCellAnchor>
    <xdr:from>
      <xdr:col>16</xdr:col>
      <xdr:colOff>388360</xdr:colOff>
      <xdr:row>8</xdr:row>
      <xdr:rowOff>90277</xdr:rowOff>
    </xdr:from>
    <xdr:to>
      <xdr:col>23</xdr:col>
      <xdr:colOff>530165</xdr:colOff>
      <xdr:row>23</xdr:row>
      <xdr:rowOff>35858</xdr:rowOff>
    </xdr:to>
    <xdr:sp macro="" textlink="">
      <xdr:nvSpPr>
        <xdr:cNvPr id="39" name="Rectangle: Rounded Corners 38">
          <a:extLst>
            <a:ext uri="{FF2B5EF4-FFF2-40B4-BE49-F238E27FC236}">
              <a16:creationId xmlns:a16="http://schemas.microsoft.com/office/drawing/2014/main" id="{7B2A1D61-7C24-1744-ED15-12BD6DB6610E}"/>
            </a:ext>
          </a:extLst>
        </xdr:cNvPr>
        <xdr:cNvSpPr/>
      </xdr:nvSpPr>
      <xdr:spPr>
        <a:xfrm>
          <a:off x="10164964" y="1599900"/>
          <a:ext cx="4419069" cy="2776123"/>
        </a:xfrm>
        <a:prstGeom prst="roundRect">
          <a:avLst>
            <a:gd name="adj" fmla="val 2932"/>
          </a:avLst>
        </a:prstGeom>
        <a:solidFill>
          <a:srgbClr val="FDFEFE"/>
        </a:solidFill>
        <a:ln>
          <a:solidFill>
            <a:srgbClr val="FDFEF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403122</xdr:colOff>
      <xdr:row>8</xdr:row>
      <xdr:rowOff>83345</xdr:rowOff>
    </xdr:from>
    <xdr:to>
      <xdr:col>23</xdr:col>
      <xdr:colOff>539151</xdr:colOff>
      <xdr:row>10</xdr:row>
      <xdr:rowOff>45385</xdr:rowOff>
    </xdr:to>
    <xdr:sp macro="" textlink="">
      <xdr:nvSpPr>
        <xdr:cNvPr id="40" name="Rectangle: Top Corners Rounded 39">
          <a:extLst>
            <a:ext uri="{FF2B5EF4-FFF2-40B4-BE49-F238E27FC236}">
              <a16:creationId xmlns:a16="http://schemas.microsoft.com/office/drawing/2014/main" id="{0B51EF58-D52A-A151-CB5C-110D13EDD574}"/>
            </a:ext>
          </a:extLst>
        </xdr:cNvPr>
        <xdr:cNvSpPr/>
      </xdr:nvSpPr>
      <xdr:spPr>
        <a:xfrm>
          <a:off x="10179726" y="1592968"/>
          <a:ext cx="4413293" cy="339445"/>
        </a:xfrm>
        <a:prstGeom prst="round2SameRect">
          <a:avLst>
            <a:gd name="adj1" fmla="val 26979"/>
            <a:gd name="adj2" fmla="val 0"/>
          </a:avLst>
        </a:prstGeom>
        <a:solidFill>
          <a:srgbClr val="2B2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435819</xdr:colOff>
      <xdr:row>8</xdr:row>
      <xdr:rowOff>121242</xdr:rowOff>
    </xdr:from>
    <xdr:to>
      <xdr:col>23</xdr:col>
      <xdr:colOff>366985</xdr:colOff>
      <xdr:row>9</xdr:row>
      <xdr:rowOff>174353</xdr:rowOff>
    </xdr:to>
    <xdr:sp macro="" textlink="">
      <xdr:nvSpPr>
        <xdr:cNvPr id="48" name="TextBox 47">
          <a:extLst>
            <a:ext uri="{FF2B5EF4-FFF2-40B4-BE49-F238E27FC236}">
              <a16:creationId xmlns:a16="http://schemas.microsoft.com/office/drawing/2014/main" id="{F9E6442F-EB5E-C78A-2916-6371CE4CF3EB}"/>
            </a:ext>
          </a:extLst>
        </xdr:cNvPr>
        <xdr:cNvSpPr txBox="1"/>
      </xdr:nvSpPr>
      <xdr:spPr>
        <a:xfrm>
          <a:off x="10212423" y="1630865"/>
          <a:ext cx="4208430" cy="241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C29A2B"/>
              </a:solidFill>
            </a:rPr>
            <a:t>Smaller components bear the bigger damage risk</a:t>
          </a:r>
        </a:p>
      </xdr:txBody>
    </xdr:sp>
    <xdr:clientData/>
  </xdr:twoCellAnchor>
  <xdr:twoCellAnchor>
    <xdr:from>
      <xdr:col>15</xdr:col>
      <xdr:colOff>500058</xdr:colOff>
      <xdr:row>23</xdr:row>
      <xdr:rowOff>146799</xdr:rowOff>
    </xdr:from>
    <xdr:to>
      <xdr:col>23</xdr:col>
      <xdr:colOff>557123</xdr:colOff>
      <xdr:row>36</xdr:row>
      <xdr:rowOff>22412</xdr:rowOff>
    </xdr:to>
    <xdr:sp macro="" textlink="">
      <xdr:nvSpPr>
        <xdr:cNvPr id="55" name="Rectangle: Rounded Corners 54">
          <a:extLst>
            <a:ext uri="{FF2B5EF4-FFF2-40B4-BE49-F238E27FC236}">
              <a16:creationId xmlns:a16="http://schemas.microsoft.com/office/drawing/2014/main" id="{C3B79054-F4DC-2A8B-DF4E-D785D69FF9F2}"/>
            </a:ext>
          </a:extLst>
        </xdr:cNvPr>
        <xdr:cNvSpPr/>
      </xdr:nvSpPr>
      <xdr:spPr>
        <a:xfrm>
          <a:off x="9665624" y="4486964"/>
          <a:ext cx="4945367" cy="2328750"/>
        </a:xfrm>
        <a:prstGeom prst="roundRect">
          <a:avLst>
            <a:gd name="adj" fmla="val 2932"/>
          </a:avLst>
        </a:prstGeom>
        <a:solidFill>
          <a:srgbClr val="FDFEFE"/>
        </a:solidFill>
        <a:ln>
          <a:solidFill>
            <a:srgbClr val="FDFEF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509582</xdr:colOff>
      <xdr:row>23</xdr:row>
      <xdr:rowOff>143774</xdr:rowOff>
    </xdr:from>
    <xdr:to>
      <xdr:col>23</xdr:col>
      <xdr:colOff>557123</xdr:colOff>
      <xdr:row>25</xdr:row>
      <xdr:rowOff>88272</xdr:rowOff>
    </xdr:to>
    <xdr:sp macro="" textlink="">
      <xdr:nvSpPr>
        <xdr:cNvPr id="56" name="Rectangle: Top Corners Rounded 55">
          <a:extLst>
            <a:ext uri="{FF2B5EF4-FFF2-40B4-BE49-F238E27FC236}">
              <a16:creationId xmlns:a16="http://schemas.microsoft.com/office/drawing/2014/main" id="{2D288561-3FE0-74BE-B014-6A617CE1D745}"/>
            </a:ext>
          </a:extLst>
        </xdr:cNvPr>
        <xdr:cNvSpPr/>
      </xdr:nvSpPr>
      <xdr:spPr>
        <a:xfrm>
          <a:off x="9675148" y="4483939"/>
          <a:ext cx="4935843" cy="321904"/>
        </a:xfrm>
        <a:prstGeom prst="round2SameRect">
          <a:avLst>
            <a:gd name="adj1" fmla="val 26979"/>
            <a:gd name="adj2" fmla="val 0"/>
          </a:avLst>
        </a:prstGeom>
        <a:solidFill>
          <a:srgbClr val="2B2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547679</xdr:colOff>
      <xdr:row>25</xdr:row>
      <xdr:rowOff>142875</xdr:rowOff>
    </xdr:from>
    <xdr:to>
      <xdr:col>19</xdr:col>
      <xdr:colOff>523866</xdr:colOff>
      <xdr:row>36</xdr:row>
      <xdr:rowOff>23812</xdr:rowOff>
    </xdr:to>
    <mc:AlternateContent xmlns:mc="http://schemas.openxmlformats.org/markup-compatibility/2006">
      <mc:Choice xmlns:cx2="http://schemas.microsoft.com/office/drawing/2015/10/21/chartex" Requires="cx2">
        <xdr:graphicFrame macro="">
          <xdr:nvGraphicFramePr>
            <xdr:cNvPr id="57" name="Chart 56">
              <a:extLst>
                <a:ext uri="{FF2B5EF4-FFF2-40B4-BE49-F238E27FC236}">
                  <a16:creationId xmlns:a16="http://schemas.microsoft.com/office/drawing/2014/main" id="{8CA2F3E7-8459-475F-A64B-740E0C1766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9691679" y="4905375"/>
              <a:ext cx="2414587" cy="19764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488147</xdr:colOff>
      <xdr:row>26</xdr:row>
      <xdr:rowOff>23812</xdr:rowOff>
    </xdr:from>
    <xdr:to>
      <xdr:col>23</xdr:col>
      <xdr:colOff>583396</xdr:colOff>
      <xdr:row>35</xdr:row>
      <xdr:rowOff>178593</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DA009529-1762-4179-99F2-BC6C3210E7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2070547" y="4976812"/>
              <a:ext cx="2533649" cy="186928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536181</xdr:colOff>
      <xdr:row>24</xdr:row>
      <xdr:rowOff>10156</xdr:rowOff>
    </xdr:from>
    <xdr:to>
      <xdr:col>23</xdr:col>
      <xdr:colOff>46946</xdr:colOff>
      <xdr:row>25</xdr:row>
      <xdr:rowOff>63219</xdr:rowOff>
    </xdr:to>
    <xdr:sp macro="" textlink="">
      <xdr:nvSpPr>
        <xdr:cNvPr id="59" name="TextBox 58">
          <a:extLst>
            <a:ext uri="{FF2B5EF4-FFF2-40B4-BE49-F238E27FC236}">
              <a16:creationId xmlns:a16="http://schemas.microsoft.com/office/drawing/2014/main" id="{75F7DF57-3491-74BE-A11B-325A21395F0F}"/>
            </a:ext>
          </a:extLst>
        </xdr:cNvPr>
        <xdr:cNvSpPr txBox="1"/>
      </xdr:nvSpPr>
      <xdr:spPr>
        <a:xfrm>
          <a:off x="9644462" y="4582156"/>
          <a:ext cx="4368515" cy="24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C29A2B"/>
              </a:solidFill>
            </a:rPr>
            <a:t>The biggest delays and cost overruns come from different routes</a:t>
          </a:r>
        </a:p>
      </xdr:txBody>
    </xdr:sp>
    <xdr:clientData/>
  </xdr:twoCellAnchor>
  <xdr:twoCellAnchor>
    <xdr:from>
      <xdr:col>16</xdr:col>
      <xdr:colOff>416710</xdr:colOff>
      <xdr:row>10</xdr:row>
      <xdr:rowOff>35718</xdr:rowOff>
    </xdr:from>
    <xdr:to>
      <xdr:col>23</xdr:col>
      <xdr:colOff>535773</xdr:colOff>
      <xdr:row>23</xdr:row>
      <xdr:rowOff>35719</xdr:rowOff>
    </xdr:to>
    <xdr:graphicFrame macro="">
      <xdr:nvGraphicFramePr>
        <xdr:cNvPr id="61" name="Chart 60">
          <a:extLst>
            <a:ext uri="{FF2B5EF4-FFF2-40B4-BE49-F238E27FC236}">
              <a16:creationId xmlns:a16="http://schemas.microsoft.com/office/drawing/2014/main" id="{9D656944-ECA8-403E-B77B-7A0ADA54B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523876</xdr:colOff>
      <xdr:row>3</xdr:row>
      <xdr:rowOff>35717</xdr:rowOff>
    </xdr:from>
    <xdr:to>
      <xdr:col>4</xdr:col>
      <xdr:colOff>488149</xdr:colOff>
      <xdr:row>36</xdr:row>
      <xdr:rowOff>23812</xdr:rowOff>
    </xdr:to>
    <xdr:sp macro="" textlink="">
      <xdr:nvSpPr>
        <xdr:cNvPr id="63" name="Rectangle: Rounded Corners 62">
          <a:extLst>
            <a:ext uri="{FF2B5EF4-FFF2-40B4-BE49-F238E27FC236}">
              <a16:creationId xmlns:a16="http://schemas.microsoft.com/office/drawing/2014/main" id="{9D8F3A32-EE24-CEEF-3851-499786BBB854}"/>
            </a:ext>
          </a:extLst>
        </xdr:cNvPr>
        <xdr:cNvSpPr/>
      </xdr:nvSpPr>
      <xdr:spPr>
        <a:xfrm>
          <a:off x="523876" y="607217"/>
          <a:ext cx="2393148" cy="6274595"/>
        </a:xfrm>
        <a:prstGeom prst="roundRect">
          <a:avLst>
            <a:gd name="adj" fmla="val 4056"/>
          </a:avLst>
        </a:prstGeom>
        <a:solidFill>
          <a:srgbClr val="0B30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35928</xdr:colOff>
      <xdr:row>4</xdr:row>
      <xdr:rowOff>35720</xdr:rowOff>
    </xdr:from>
    <xdr:to>
      <xdr:col>4</xdr:col>
      <xdr:colOff>393116</xdr:colOff>
      <xdr:row>13</xdr:row>
      <xdr:rowOff>107156</xdr:rowOff>
    </xdr:to>
    <mc:AlternateContent xmlns:mc="http://schemas.openxmlformats.org/markup-compatibility/2006" xmlns:a14="http://schemas.microsoft.com/office/drawing/2010/main">
      <mc:Choice Requires="a14">
        <xdr:graphicFrame macro="">
          <xdr:nvGraphicFramePr>
            <xdr:cNvPr id="64" name="Project_Type">
              <a:extLst>
                <a:ext uri="{FF2B5EF4-FFF2-40B4-BE49-F238E27FC236}">
                  <a16:creationId xmlns:a16="http://schemas.microsoft.com/office/drawing/2014/main" id="{D842AF37-D7FC-4C73-AF1C-2717E33DC8EF}"/>
                </a:ext>
              </a:extLst>
            </xdr:cNvPr>
            <xdr:cNvGraphicFramePr/>
          </xdr:nvGraphicFramePr>
          <xdr:xfrm>
            <a:off x="0" y="0"/>
            <a:ext cx="0" cy="0"/>
          </xdr:xfrm>
          <a:graphic>
            <a:graphicData uri="http://schemas.microsoft.com/office/drawing/2010/slicer">
              <sle:slicer xmlns:sle="http://schemas.microsoft.com/office/drawing/2010/slicer" name="Project_Type"/>
            </a:graphicData>
          </a:graphic>
        </xdr:graphicFrame>
      </mc:Choice>
      <mc:Fallback xmlns="">
        <xdr:sp macro="" textlink="">
          <xdr:nvSpPr>
            <xdr:cNvPr id="0" name=""/>
            <xdr:cNvSpPr>
              <a:spLocks noTextEdit="1"/>
            </xdr:cNvSpPr>
          </xdr:nvSpPr>
          <xdr:spPr>
            <a:xfrm>
              <a:off x="643147" y="797720"/>
              <a:ext cx="2178844" cy="1785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21573</xdr:colOff>
      <xdr:row>25</xdr:row>
      <xdr:rowOff>142876</xdr:rowOff>
    </xdr:from>
    <xdr:to>
      <xdr:col>4</xdr:col>
      <xdr:colOff>377917</xdr:colOff>
      <xdr:row>33</xdr:row>
      <xdr:rowOff>167724</xdr:rowOff>
    </xdr:to>
    <mc:AlternateContent xmlns:mc="http://schemas.openxmlformats.org/markup-compatibility/2006" xmlns:a14="http://schemas.microsoft.com/office/drawing/2010/main">
      <mc:Choice Requires="a14">
        <xdr:graphicFrame macro="">
          <xdr:nvGraphicFramePr>
            <xdr:cNvPr id="66" name="Distance Category">
              <a:extLst>
                <a:ext uri="{FF2B5EF4-FFF2-40B4-BE49-F238E27FC236}">
                  <a16:creationId xmlns:a16="http://schemas.microsoft.com/office/drawing/2014/main" id="{3EF4E7DE-5F7B-49DD-9E29-809CA9599857}"/>
                </a:ext>
              </a:extLst>
            </xdr:cNvPr>
            <xdr:cNvGraphicFramePr/>
          </xdr:nvGraphicFramePr>
          <xdr:xfrm>
            <a:off x="0" y="0"/>
            <a:ext cx="0" cy="0"/>
          </xdr:xfrm>
          <a:graphic>
            <a:graphicData uri="http://schemas.microsoft.com/office/drawing/2010/slicer">
              <sle:slicer xmlns:sle="http://schemas.microsoft.com/office/drawing/2010/slicer" name="Distance Category"/>
            </a:graphicData>
          </a:graphic>
        </xdr:graphicFrame>
      </mc:Choice>
      <mc:Fallback xmlns="">
        <xdr:sp macro="" textlink="">
          <xdr:nvSpPr>
            <xdr:cNvPr id="0" name=""/>
            <xdr:cNvSpPr>
              <a:spLocks noTextEdit="1"/>
            </xdr:cNvSpPr>
          </xdr:nvSpPr>
          <xdr:spPr>
            <a:xfrm>
              <a:off x="628792" y="4905376"/>
              <a:ext cx="2178000" cy="1548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21151</xdr:colOff>
      <xdr:row>4</xdr:row>
      <xdr:rowOff>35719</xdr:rowOff>
    </xdr:from>
    <xdr:to>
      <xdr:col>4</xdr:col>
      <xdr:colOff>378339</xdr:colOff>
      <xdr:row>15</xdr:row>
      <xdr:rowOff>112058</xdr:rowOff>
    </xdr:to>
    <mc:AlternateContent xmlns:mc="http://schemas.openxmlformats.org/markup-compatibility/2006" xmlns:a14="http://schemas.microsoft.com/office/drawing/2010/main">
      <mc:Choice Requires="a14">
        <xdr:graphicFrame macro="">
          <xdr:nvGraphicFramePr>
            <xdr:cNvPr id="67" name="Project_Type 1">
              <a:extLst>
                <a:ext uri="{FF2B5EF4-FFF2-40B4-BE49-F238E27FC236}">
                  <a16:creationId xmlns:a16="http://schemas.microsoft.com/office/drawing/2014/main" id="{970517B3-0AFD-C84A-973A-9F7F397BD438}"/>
                </a:ext>
              </a:extLst>
            </xdr:cNvPr>
            <xdr:cNvGraphicFramePr/>
          </xdr:nvGraphicFramePr>
          <xdr:xfrm>
            <a:off x="0" y="0"/>
            <a:ext cx="0" cy="0"/>
          </xdr:xfrm>
          <a:graphic>
            <a:graphicData uri="http://schemas.microsoft.com/office/drawing/2010/slicer">
              <sle:slicer xmlns:sle="http://schemas.microsoft.com/office/drawing/2010/slicer" name="Project_Type 1"/>
            </a:graphicData>
          </a:graphic>
        </xdr:graphicFrame>
      </mc:Choice>
      <mc:Fallback xmlns="">
        <xdr:sp macro="" textlink="">
          <xdr:nvSpPr>
            <xdr:cNvPr id="0" name=""/>
            <xdr:cNvSpPr>
              <a:spLocks noTextEdit="1"/>
            </xdr:cNvSpPr>
          </xdr:nvSpPr>
          <xdr:spPr>
            <a:xfrm>
              <a:off x="628370" y="797719"/>
              <a:ext cx="2178844" cy="2171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21573</xdr:colOff>
      <xdr:row>15</xdr:row>
      <xdr:rowOff>157361</xdr:rowOff>
    </xdr:from>
    <xdr:to>
      <xdr:col>4</xdr:col>
      <xdr:colOff>377917</xdr:colOff>
      <xdr:row>25</xdr:row>
      <xdr:rowOff>97573</xdr:rowOff>
    </xdr:to>
    <mc:AlternateContent xmlns:mc="http://schemas.openxmlformats.org/markup-compatibility/2006" xmlns:a14="http://schemas.microsoft.com/office/drawing/2010/main">
      <mc:Choice Requires="a14">
        <xdr:graphicFrame macro="">
          <xdr:nvGraphicFramePr>
            <xdr:cNvPr id="69" name="Supplier 1">
              <a:extLst>
                <a:ext uri="{FF2B5EF4-FFF2-40B4-BE49-F238E27FC236}">
                  <a16:creationId xmlns:a16="http://schemas.microsoft.com/office/drawing/2014/main" id="{E15E0BE7-39DA-0D46-1F14-1C7AF4FD6E57}"/>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mlns="">
        <xdr:sp macro="" textlink="">
          <xdr:nvSpPr>
            <xdr:cNvPr id="0" name=""/>
            <xdr:cNvSpPr>
              <a:spLocks noTextEdit="1"/>
            </xdr:cNvSpPr>
          </xdr:nvSpPr>
          <xdr:spPr>
            <a:xfrm>
              <a:off x="628792" y="3014861"/>
              <a:ext cx="2178000" cy="1845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83344</xdr:colOff>
      <xdr:row>34</xdr:row>
      <xdr:rowOff>59530</xdr:rowOff>
    </xdr:from>
    <xdr:to>
      <xdr:col>1</xdr:col>
      <xdr:colOff>309563</xdr:colOff>
      <xdr:row>35</xdr:row>
      <xdr:rowOff>95249</xdr:rowOff>
    </xdr:to>
    <xdr:pic>
      <xdr:nvPicPr>
        <xdr:cNvPr id="76" name="Picture 75">
          <a:extLst>
            <a:ext uri="{FF2B5EF4-FFF2-40B4-BE49-F238E27FC236}">
              <a16:creationId xmlns:a16="http://schemas.microsoft.com/office/drawing/2014/main" id="{2927A7C9-A354-5907-B72E-1E13E7994B2F}"/>
            </a:ext>
          </a:extLst>
        </xdr:cNvPr>
        <xdr:cNvPicPr>
          <a:picLocks noChangeAspect="1"/>
        </xdr:cNvPicPr>
      </xdr:nvPicPr>
      <xdr:blipFill>
        <a:blip xmlns:r="http://schemas.openxmlformats.org/officeDocument/2006/relationships" r:embed="rId22"/>
        <a:stretch>
          <a:fillRect/>
        </a:stretch>
      </xdr:blipFill>
      <xdr:spPr>
        <a:xfrm>
          <a:off x="690563" y="6536530"/>
          <a:ext cx="226219" cy="226219"/>
        </a:xfrm>
        <a:prstGeom prst="rect">
          <a:avLst/>
        </a:prstGeom>
      </xdr:spPr>
    </xdr:pic>
    <xdr:clientData/>
  </xdr:twoCellAnchor>
  <xdr:twoCellAnchor editAs="oneCell">
    <xdr:from>
      <xdr:col>1</xdr:col>
      <xdr:colOff>392908</xdr:colOff>
      <xdr:row>34</xdr:row>
      <xdr:rowOff>71437</xdr:rowOff>
    </xdr:from>
    <xdr:to>
      <xdr:col>2</xdr:col>
      <xdr:colOff>12489</xdr:colOff>
      <xdr:row>35</xdr:row>
      <xdr:rowOff>107737</xdr:rowOff>
    </xdr:to>
    <xdr:pic>
      <xdr:nvPicPr>
        <xdr:cNvPr id="82" name="Picture 81">
          <a:extLst>
            <a:ext uri="{FF2B5EF4-FFF2-40B4-BE49-F238E27FC236}">
              <a16:creationId xmlns:a16="http://schemas.microsoft.com/office/drawing/2014/main" id="{291B3A83-B8B4-6514-D0EB-AA74D38CC9D9}"/>
            </a:ext>
          </a:extLst>
        </xdr:cNvPr>
        <xdr:cNvPicPr>
          <a:picLocks noChangeAspect="1"/>
        </xdr:cNvPicPr>
      </xdr:nvPicPr>
      <xdr:blipFill>
        <a:blip xmlns:r="http://schemas.openxmlformats.org/officeDocument/2006/relationships" r:embed="rId23"/>
        <a:stretch>
          <a:fillRect/>
        </a:stretch>
      </xdr:blipFill>
      <xdr:spPr>
        <a:xfrm>
          <a:off x="1000127" y="6548437"/>
          <a:ext cx="226800" cy="226800"/>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0.04737</cdr:x>
      <cdr:y>0.0263</cdr:y>
    </cdr:from>
    <cdr:to>
      <cdr:x>0.28279</cdr:x>
      <cdr:y>0.11311</cdr:y>
    </cdr:to>
    <cdr:sp macro="" textlink="Charts!$P$12">
      <cdr:nvSpPr>
        <cdr:cNvPr id="2" name="TextBox 1">
          <a:extLst xmlns:a="http://schemas.openxmlformats.org/drawingml/2006/main">
            <a:ext uri="{FF2B5EF4-FFF2-40B4-BE49-F238E27FC236}">
              <a16:creationId xmlns:a16="http://schemas.microsoft.com/office/drawing/2014/main" id="{C9309D87-3D61-D8E9-A56E-FAF6A502242A}"/>
            </a:ext>
          </a:extLst>
        </cdr:cNvPr>
        <cdr:cNvSpPr txBox="1"/>
      </cdr:nvSpPr>
      <cdr:spPr>
        <a:xfrm xmlns:a="http://schemas.openxmlformats.org/drawingml/2006/main">
          <a:off x="142854" y="64100"/>
          <a:ext cx="709927" cy="2115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32986A5-8E84-4484-B917-0A22D510A606}" type="TxLink">
            <a:rPr lang="en-US" sz="1050" b="0" i="0" u="none" strike="noStrike">
              <a:solidFill>
                <a:srgbClr val="000000"/>
              </a:solidFill>
              <a:latin typeface="Aptos Narrow"/>
            </a:rPr>
            <a:pPr/>
            <a:t>SunCore Energy</a:t>
          </a:fld>
          <a:endParaRPr lang="en-US" sz="1050"/>
        </a:p>
      </cdr:txBody>
    </cdr:sp>
  </cdr:relSizeAnchor>
  <cdr:relSizeAnchor xmlns:cdr="http://schemas.openxmlformats.org/drawingml/2006/chartDrawing">
    <cdr:from>
      <cdr:x>0.04737</cdr:x>
      <cdr:y>0.2081</cdr:y>
    </cdr:from>
    <cdr:to>
      <cdr:x>0.32237</cdr:x>
      <cdr:y>0.29491</cdr:y>
    </cdr:to>
    <cdr:sp macro="" textlink="Charts!$P$13">
      <cdr:nvSpPr>
        <cdr:cNvPr id="3" name="TextBox 2">
          <a:extLst xmlns:a="http://schemas.openxmlformats.org/drawingml/2006/main">
            <a:ext uri="{FF2B5EF4-FFF2-40B4-BE49-F238E27FC236}">
              <a16:creationId xmlns:a16="http://schemas.microsoft.com/office/drawing/2014/main" id="{A5BB2B3F-DBCD-4289-85E4-ADF0FE87FE84}"/>
            </a:ext>
          </a:extLst>
        </cdr:cNvPr>
        <cdr:cNvSpPr txBox="1"/>
      </cdr:nvSpPr>
      <cdr:spPr>
        <a:xfrm xmlns:a="http://schemas.openxmlformats.org/drawingml/2006/main">
          <a:off x="142854" y="507190"/>
          <a:ext cx="829283" cy="21157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71E2D67-2867-46D9-8C90-24E04531996D}" type="TxLink">
            <a:rPr lang="en-US" sz="1050" b="0" i="0" u="none" strike="noStrike">
              <a:solidFill>
                <a:srgbClr val="000000"/>
              </a:solidFill>
              <a:latin typeface="Aptos Narrow"/>
            </a:rPr>
            <a:pPr/>
            <a:t>GreenVolt Nigeria</a:t>
          </a:fld>
          <a:endParaRPr lang="en-US" sz="1050"/>
        </a:p>
      </cdr:txBody>
    </cdr:sp>
  </cdr:relSizeAnchor>
  <cdr:relSizeAnchor xmlns:cdr="http://schemas.openxmlformats.org/drawingml/2006/chartDrawing">
    <cdr:from>
      <cdr:x>0.04737</cdr:x>
      <cdr:y>0.37811</cdr:y>
    </cdr:from>
    <cdr:to>
      <cdr:x>0.48032</cdr:x>
      <cdr:y>0.46492</cdr:y>
    </cdr:to>
    <cdr:sp macro="" textlink="Charts!$P$14">
      <cdr:nvSpPr>
        <cdr:cNvPr id="4" name="TextBox 3">
          <a:extLst xmlns:a="http://schemas.openxmlformats.org/drawingml/2006/main">
            <a:ext uri="{FF2B5EF4-FFF2-40B4-BE49-F238E27FC236}">
              <a16:creationId xmlns:a16="http://schemas.microsoft.com/office/drawing/2014/main" id="{0B3F4772-379F-BD0E-5425-3AF21639A100}"/>
            </a:ext>
          </a:extLst>
        </cdr:cNvPr>
        <cdr:cNvSpPr txBox="1"/>
      </cdr:nvSpPr>
      <cdr:spPr>
        <a:xfrm xmlns:a="http://schemas.openxmlformats.org/drawingml/2006/main">
          <a:off x="142854" y="921557"/>
          <a:ext cx="1305593" cy="21157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3B9E5DC1-2C13-40C4-9238-10A4F8EAE3F1}" type="TxLink">
            <a:rPr lang="en-US" sz="1050" b="0" i="0" u="none" strike="noStrike">
              <a:solidFill>
                <a:srgbClr val="000000"/>
              </a:solidFill>
              <a:latin typeface="Aptos Narrow"/>
            </a:rPr>
            <a:pPr/>
            <a:t>EcoPower Logistics</a:t>
          </a:fld>
          <a:endParaRPr lang="en-US" sz="1050"/>
        </a:p>
      </cdr:txBody>
    </cdr:sp>
  </cdr:relSizeAnchor>
  <cdr:relSizeAnchor xmlns:cdr="http://schemas.openxmlformats.org/drawingml/2006/chartDrawing">
    <cdr:from>
      <cdr:x>0.04737</cdr:x>
      <cdr:y>0.56007</cdr:y>
    </cdr:from>
    <cdr:to>
      <cdr:x>0.48031</cdr:x>
      <cdr:y>0.64688</cdr:y>
    </cdr:to>
    <cdr:sp macro="" textlink="Charts!$P$15">
      <cdr:nvSpPr>
        <cdr:cNvPr id="5" name="TextBox 4">
          <a:extLst xmlns:a="http://schemas.openxmlformats.org/drawingml/2006/main">
            <a:ext uri="{FF2B5EF4-FFF2-40B4-BE49-F238E27FC236}">
              <a16:creationId xmlns:a16="http://schemas.microsoft.com/office/drawing/2014/main" id="{8FC0712C-BDBB-C4FE-5372-78236DB55506}"/>
            </a:ext>
          </a:extLst>
        </cdr:cNvPr>
        <cdr:cNvSpPr txBox="1"/>
      </cdr:nvSpPr>
      <cdr:spPr>
        <a:xfrm xmlns:a="http://schemas.openxmlformats.org/drawingml/2006/main">
          <a:off x="142854" y="1365043"/>
          <a:ext cx="1305562" cy="2115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2180C04A-862C-4262-B58D-201A09CA65F0}" type="TxLink">
            <a:rPr lang="en-US" sz="1050" b="0" i="0" u="none" strike="noStrike">
              <a:solidFill>
                <a:srgbClr val="000000"/>
              </a:solidFill>
              <a:latin typeface="Aptos Narrow"/>
            </a:rPr>
            <a:pPr/>
            <a:t>PowerGrid Solutions</a:t>
          </a:fld>
          <a:endParaRPr lang="en-US" sz="1050"/>
        </a:p>
      </cdr:txBody>
    </cdr:sp>
  </cdr:relSizeAnchor>
  <cdr:relSizeAnchor xmlns:cdr="http://schemas.openxmlformats.org/drawingml/2006/chartDrawing">
    <cdr:from>
      <cdr:x>0.04737</cdr:x>
      <cdr:y>0.72671</cdr:y>
    </cdr:from>
    <cdr:to>
      <cdr:x>0.36734</cdr:x>
      <cdr:y>0.81352</cdr:y>
    </cdr:to>
    <cdr:sp macro="" textlink="Charts!$P$16">
      <cdr:nvSpPr>
        <cdr:cNvPr id="6" name="TextBox 5">
          <a:extLst xmlns:a="http://schemas.openxmlformats.org/drawingml/2006/main">
            <a:ext uri="{FF2B5EF4-FFF2-40B4-BE49-F238E27FC236}">
              <a16:creationId xmlns:a16="http://schemas.microsoft.com/office/drawing/2014/main" id="{6D53EFA1-4221-DF1A-1480-859E0E15BD3C}"/>
            </a:ext>
          </a:extLst>
        </cdr:cNvPr>
        <cdr:cNvSpPr txBox="1"/>
      </cdr:nvSpPr>
      <cdr:spPr>
        <a:xfrm xmlns:a="http://schemas.openxmlformats.org/drawingml/2006/main">
          <a:off x="142854" y="1771195"/>
          <a:ext cx="964893" cy="2115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BA96176F-AECB-4EFE-86A7-ABC4309DBFD3}" type="TxLink">
            <a:rPr lang="en-US" sz="1050" b="0" i="0" u="none" strike="noStrike">
              <a:solidFill>
                <a:srgbClr val="000000"/>
              </a:solidFill>
              <a:latin typeface="Aptos Narrow"/>
            </a:rPr>
            <a:pPr/>
            <a:t>SolarTech Supplies</a:t>
          </a:fld>
          <a:endParaRPr lang="en-US" sz="1050"/>
        </a:p>
      </cdr:txBody>
    </cdr:sp>
  </cdr:relSizeAnchor>
</c:userShapes>
</file>

<file path=xl/drawings/drawing5.xml><?xml version="1.0" encoding="utf-8"?>
<c:userShapes xmlns:c="http://schemas.openxmlformats.org/drawingml/2006/chart">
  <cdr:relSizeAnchor xmlns:cdr="http://schemas.openxmlformats.org/drawingml/2006/chartDrawing">
    <cdr:from>
      <cdr:x>0.06213</cdr:x>
      <cdr:y>0.05034</cdr:y>
    </cdr:from>
    <cdr:to>
      <cdr:x>0.5585</cdr:x>
      <cdr:y>0.13367</cdr:y>
    </cdr:to>
    <cdr:sp macro="" textlink="Charts!$A$4">
      <cdr:nvSpPr>
        <cdr:cNvPr id="2" name="TextBox 1">
          <a:extLst xmlns:a="http://schemas.openxmlformats.org/drawingml/2006/main">
            <a:ext uri="{FF2B5EF4-FFF2-40B4-BE49-F238E27FC236}">
              <a16:creationId xmlns:a16="http://schemas.microsoft.com/office/drawing/2014/main" id="{F5564A27-1598-C644-51E2-8D2114C19DFA}"/>
            </a:ext>
          </a:extLst>
        </cdr:cNvPr>
        <cdr:cNvSpPr txBox="1"/>
      </cdr:nvSpPr>
      <cdr:spPr>
        <a:xfrm xmlns:a="http://schemas.openxmlformats.org/drawingml/2006/main">
          <a:off x="126041" y="121888"/>
          <a:ext cx="1006896" cy="20177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DFD73219-73B5-46F1-A30B-8BC104F98201}" type="TxLink">
            <a:rPr lang="en-US" sz="1050" b="0" i="0" u="none" strike="noStrike">
              <a:solidFill>
                <a:srgbClr val="000000"/>
              </a:solidFill>
              <a:latin typeface="Aptos Narrow"/>
            </a:rPr>
            <a:pPr/>
            <a:t>SunCore Energy</a:t>
          </a:fld>
          <a:endParaRPr lang="en-US" sz="1050"/>
        </a:p>
      </cdr:txBody>
    </cdr:sp>
  </cdr:relSizeAnchor>
  <cdr:relSizeAnchor xmlns:cdr="http://schemas.openxmlformats.org/drawingml/2006/chartDrawing">
    <cdr:from>
      <cdr:x>0.05109</cdr:x>
      <cdr:y>0.21816</cdr:y>
    </cdr:from>
    <cdr:to>
      <cdr:x>0.54746</cdr:x>
      <cdr:y>0.3015</cdr:y>
    </cdr:to>
    <cdr:sp macro="" textlink="Charts!$A$5">
      <cdr:nvSpPr>
        <cdr:cNvPr id="3" name="TextBox 2">
          <a:extLst xmlns:a="http://schemas.openxmlformats.org/drawingml/2006/main">
            <a:ext uri="{FF2B5EF4-FFF2-40B4-BE49-F238E27FC236}">
              <a16:creationId xmlns:a16="http://schemas.microsoft.com/office/drawing/2014/main" id="{D91E61B6-7489-D95E-D988-4F4620FAFE93}"/>
            </a:ext>
          </a:extLst>
        </cdr:cNvPr>
        <cdr:cNvSpPr txBox="1"/>
      </cdr:nvSpPr>
      <cdr:spPr>
        <a:xfrm xmlns:a="http://schemas.openxmlformats.org/drawingml/2006/main">
          <a:off x="103631" y="528256"/>
          <a:ext cx="1006896" cy="20179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76BFDA55-80FF-4AE5-9B82-D9C7B1ED2405}" type="TxLink">
            <a:rPr lang="en-US" sz="1050" b="0" i="0" u="none" strike="noStrike">
              <a:solidFill>
                <a:srgbClr val="000000"/>
              </a:solidFill>
              <a:latin typeface="Aptos Narrow"/>
            </a:rPr>
            <a:pPr/>
            <a:t>GreenVolt Nigeria</a:t>
          </a:fld>
          <a:endParaRPr lang="en-US" sz="1050"/>
        </a:p>
      </cdr:txBody>
    </cdr:sp>
  </cdr:relSizeAnchor>
  <cdr:relSizeAnchor xmlns:cdr="http://schemas.openxmlformats.org/drawingml/2006/chartDrawing">
    <cdr:from>
      <cdr:x>0.05489</cdr:x>
      <cdr:y>0.3964</cdr:y>
    </cdr:from>
    <cdr:to>
      <cdr:x>0.55127</cdr:x>
      <cdr:y>0.47974</cdr:y>
    </cdr:to>
    <cdr:sp macro="" textlink="Charts!$A$6">
      <cdr:nvSpPr>
        <cdr:cNvPr id="4" name="TextBox 3">
          <a:extLst xmlns:a="http://schemas.openxmlformats.org/drawingml/2006/main">
            <a:ext uri="{FF2B5EF4-FFF2-40B4-BE49-F238E27FC236}">
              <a16:creationId xmlns:a16="http://schemas.microsoft.com/office/drawing/2014/main" id="{F0AA8683-3D06-A65C-A910-9715E6256FD3}"/>
            </a:ext>
          </a:extLst>
        </cdr:cNvPr>
        <cdr:cNvSpPr txBox="1"/>
      </cdr:nvSpPr>
      <cdr:spPr>
        <a:xfrm xmlns:a="http://schemas.openxmlformats.org/drawingml/2006/main">
          <a:off x="111336" y="959840"/>
          <a:ext cx="1006916" cy="20179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86B242FE-50D6-4FEF-ADEC-03E4E766BE7E}" type="TxLink">
            <a:rPr lang="en-US" sz="1050" b="0" i="0" u="none" strike="noStrike">
              <a:solidFill>
                <a:srgbClr val="000000"/>
              </a:solidFill>
              <a:latin typeface="Aptos Narrow"/>
            </a:rPr>
            <a:pPr/>
            <a:t>EcoPower Logistics</a:t>
          </a:fld>
          <a:endParaRPr lang="en-US" sz="1050"/>
        </a:p>
      </cdr:txBody>
    </cdr:sp>
  </cdr:relSizeAnchor>
  <cdr:relSizeAnchor xmlns:cdr="http://schemas.openxmlformats.org/drawingml/2006/chartDrawing">
    <cdr:from>
      <cdr:x>0.05109</cdr:x>
      <cdr:y>0.55729</cdr:y>
    </cdr:from>
    <cdr:to>
      <cdr:x>0.54746</cdr:x>
      <cdr:y>0.64063</cdr:y>
    </cdr:to>
    <cdr:sp macro="" textlink="Charts!$A$7">
      <cdr:nvSpPr>
        <cdr:cNvPr id="5" name="TextBox 4">
          <a:extLst xmlns:a="http://schemas.openxmlformats.org/drawingml/2006/main">
            <a:ext uri="{FF2B5EF4-FFF2-40B4-BE49-F238E27FC236}">
              <a16:creationId xmlns:a16="http://schemas.microsoft.com/office/drawing/2014/main" id="{2809A7E7-8EF5-23B9-532B-5CFAD8518D28}"/>
            </a:ext>
          </a:extLst>
        </cdr:cNvPr>
        <cdr:cNvSpPr txBox="1"/>
      </cdr:nvSpPr>
      <cdr:spPr>
        <a:xfrm xmlns:a="http://schemas.openxmlformats.org/drawingml/2006/main">
          <a:off x="103632" y="1349420"/>
          <a:ext cx="1006896" cy="20179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460A54DE-19FE-4A0F-9FFC-298A294DAAB4}" type="TxLink">
            <a:rPr lang="en-US" sz="1050" b="0" i="0" u="none" strike="noStrike">
              <a:solidFill>
                <a:srgbClr val="000000"/>
              </a:solidFill>
              <a:latin typeface="Aptos Narrow"/>
            </a:rPr>
            <a:pPr/>
            <a:t>PowerGrid Solutions</a:t>
          </a:fld>
          <a:endParaRPr lang="en-US" sz="1050"/>
        </a:p>
      </cdr:txBody>
    </cdr:sp>
  </cdr:relSizeAnchor>
  <cdr:relSizeAnchor xmlns:cdr="http://schemas.openxmlformats.org/drawingml/2006/chartDrawing">
    <cdr:from>
      <cdr:x>0.05679</cdr:x>
      <cdr:y>0.71355</cdr:y>
    </cdr:from>
    <cdr:to>
      <cdr:x>0.55316</cdr:x>
      <cdr:y>0.79688</cdr:y>
    </cdr:to>
    <cdr:sp macro="" textlink="Charts!$A$8">
      <cdr:nvSpPr>
        <cdr:cNvPr id="6" name="TextBox 5">
          <a:extLst xmlns:a="http://schemas.openxmlformats.org/drawingml/2006/main">
            <a:ext uri="{FF2B5EF4-FFF2-40B4-BE49-F238E27FC236}">
              <a16:creationId xmlns:a16="http://schemas.microsoft.com/office/drawing/2014/main" id="{2D51E1B6-D2DC-6CBA-F535-FEF922E2FFB3}"/>
            </a:ext>
          </a:extLst>
        </cdr:cNvPr>
        <cdr:cNvSpPr txBox="1"/>
      </cdr:nvSpPr>
      <cdr:spPr>
        <a:xfrm xmlns:a="http://schemas.openxmlformats.org/drawingml/2006/main">
          <a:off x="115198" y="1727794"/>
          <a:ext cx="1006896" cy="20177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F7A2A1AA-7CA2-402A-A8F7-7B1C0EB8AF57}" type="TxLink">
            <a:rPr lang="en-US" sz="1050" b="0" i="0" u="none" strike="noStrike">
              <a:solidFill>
                <a:srgbClr val="000000"/>
              </a:solidFill>
              <a:latin typeface="Aptos Narrow"/>
            </a:rPr>
            <a:pPr/>
            <a:t>SolarTech Supplies</a:t>
          </a:fld>
          <a:endParaRPr lang="en-US" sz="1050"/>
        </a:p>
      </cdr:txBody>
    </cdr:sp>
  </cdr:relSizeAnchor>
</c:userShapes>
</file>

<file path=xl/drawings/drawing6.xml><?xml version="1.0" encoding="utf-8"?>
<c:userShapes xmlns:c="http://schemas.openxmlformats.org/drawingml/2006/chart">
  <cdr:relSizeAnchor xmlns:cdr="http://schemas.openxmlformats.org/drawingml/2006/chartDrawing">
    <cdr:from>
      <cdr:x>0.06207</cdr:x>
      <cdr:y>0.0198</cdr:y>
    </cdr:from>
    <cdr:to>
      <cdr:x>0.4228</cdr:x>
      <cdr:y>0.10693</cdr:y>
    </cdr:to>
    <cdr:sp macro="" textlink="Charts!$D$4">
      <cdr:nvSpPr>
        <cdr:cNvPr id="2" name="TextBox 1">
          <a:extLst xmlns:a="http://schemas.openxmlformats.org/drawingml/2006/main">
            <a:ext uri="{FF2B5EF4-FFF2-40B4-BE49-F238E27FC236}">
              <a16:creationId xmlns:a16="http://schemas.microsoft.com/office/drawing/2014/main" id="{F785900C-ECF1-6B0B-5F23-A138696AF1D5}"/>
            </a:ext>
          </a:extLst>
        </cdr:cNvPr>
        <cdr:cNvSpPr txBox="1"/>
      </cdr:nvSpPr>
      <cdr:spPr>
        <a:xfrm xmlns:a="http://schemas.openxmlformats.org/drawingml/2006/main">
          <a:off x="126035" y="47958"/>
          <a:ext cx="732422" cy="21103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6364AC2A-C299-4A84-B5EA-01BD024ADF0E}" type="TxLink">
            <a:rPr lang="en-US" sz="1050" b="0" i="0" u="none" strike="noStrike">
              <a:solidFill>
                <a:srgbClr val="000000"/>
              </a:solidFill>
              <a:latin typeface="Aptos Narrow"/>
            </a:rPr>
            <a:pPr/>
            <a:t>SunCore Energy</a:t>
          </a:fld>
          <a:endParaRPr lang="en-US" sz="1050"/>
        </a:p>
      </cdr:txBody>
    </cdr:sp>
  </cdr:relSizeAnchor>
  <cdr:relSizeAnchor xmlns:cdr="http://schemas.openxmlformats.org/drawingml/2006/chartDrawing">
    <cdr:from>
      <cdr:x>0.06759</cdr:x>
      <cdr:y>0.19801</cdr:y>
    </cdr:from>
    <cdr:to>
      <cdr:x>0.42832</cdr:x>
      <cdr:y>0.28514</cdr:y>
    </cdr:to>
    <cdr:sp macro="" textlink="Charts!$D$5">
      <cdr:nvSpPr>
        <cdr:cNvPr id="3" name="TextBox 2">
          <a:extLst xmlns:a="http://schemas.openxmlformats.org/drawingml/2006/main">
            <a:ext uri="{FF2B5EF4-FFF2-40B4-BE49-F238E27FC236}">
              <a16:creationId xmlns:a16="http://schemas.microsoft.com/office/drawing/2014/main" id="{12FF948F-EF93-902D-38A6-1480B507A507}"/>
            </a:ext>
          </a:extLst>
        </cdr:cNvPr>
        <cdr:cNvSpPr txBox="1"/>
      </cdr:nvSpPr>
      <cdr:spPr>
        <a:xfrm xmlns:a="http://schemas.openxmlformats.org/drawingml/2006/main">
          <a:off x="137241" y="479604"/>
          <a:ext cx="732422" cy="21103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2968D42F-E40A-424A-AC8C-83C488576C6B}" type="TxLink">
            <a:rPr lang="en-US" sz="1050" b="0" i="0" u="none" strike="noStrike">
              <a:solidFill>
                <a:srgbClr val="000000"/>
              </a:solidFill>
              <a:latin typeface="Aptos Narrow"/>
            </a:rPr>
            <a:pPr/>
            <a:t>SolarTech Supplies</a:t>
          </a:fld>
          <a:endParaRPr lang="en-US" sz="1050"/>
        </a:p>
      </cdr:txBody>
    </cdr:sp>
  </cdr:relSizeAnchor>
  <cdr:relSizeAnchor xmlns:cdr="http://schemas.openxmlformats.org/drawingml/2006/chartDrawing">
    <cdr:from>
      <cdr:x>0.07337</cdr:x>
      <cdr:y>0.38697</cdr:y>
    </cdr:from>
    <cdr:to>
      <cdr:x>0.54048</cdr:x>
      <cdr:y>0.46735</cdr:y>
    </cdr:to>
    <cdr:sp macro="" textlink="Charts!$D$6">
      <cdr:nvSpPr>
        <cdr:cNvPr id="4" name="TextBox 3">
          <a:extLst xmlns:a="http://schemas.openxmlformats.org/drawingml/2006/main">
            <a:ext uri="{FF2B5EF4-FFF2-40B4-BE49-F238E27FC236}">
              <a16:creationId xmlns:a16="http://schemas.microsoft.com/office/drawing/2014/main" id="{184DA755-F030-135E-968C-6FD49763B442}"/>
            </a:ext>
          </a:extLst>
        </cdr:cNvPr>
        <cdr:cNvSpPr txBox="1"/>
      </cdr:nvSpPr>
      <cdr:spPr>
        <a:xfrm xmlns:a="http://schemas.openxmlformats.org/drawingml/2006/main">
          <a:off x="148972" y="937292"/>
          <a:ext cx="948403" cy="194682"/>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7010E17D-DB2B-49F3-B722-704FA3E78334}" type="TxLink">
            <a:rPr lang="en-US" sz="1050" b="0" i="0" u="none" strike="noStrike">
              <a:solidFill>
                <a:srgbClr val="000000"/>
              </a:solidFill>
              <a:latin typeface="Aptos Narrow"/>
            </a:rPr>
            <a:pPr/>
            <a:t>PowerGrid Solutions</a:t>
          </a:fld>
          <a:endParaRPr lang="en-US" sz="1050"/>
        </a:p>
      </cdr:txBody>
    </cdr:sp>
  </cdr:relSizeAnchor>
  <cdr:relSizeAnchor xmlns:cdr="http://schemas.openxmlformats.org/drawingml/2006/chartDrawing">
    <cdr:from>
      <cdr:x>0.05944</cdr:x>
      <cdr:y>0.55844</cdr:y>
    </cdr:from>
    <cdr:to>
      <cdr:x>0.42017</cdr:x>
      <cdr:y>0.64556</cdr:y>
    </cdr:to>
    <cdr:sp macro="" textlink="Charts!$D$7">
      <cdr:nvSpPr>
        <cdr:cNvPr id="5" name="TextBox 4">
          <a:extLst xmlns:a="http://schemas.openxmlformats.org/drawingml/2006/main">
            <a:ext uri="{FF2B5EF4-FFF2-40B4-BE49-F238E27FC236}">
              <a16:creationId xmlns:a16="http://schemas.microsoft.com/office/drawing/2014/main" id="{672FB5CF-C086-1CAD-7F9C-32F147A6B2E0}"/>
            </a:ext>
          </a:extLst>
        </cdr:cNvPr>
        <cdr:cNvSpPr txBox="1"/>
      </cdr:nvSpPr>
      <cdr:spPr>
        <a:xfrm xmlns:a="http://schemas.openxmlformats.org/drawingml/2006/main">
          <a:off x="120696" y="1352605"/>
          <a:ext cx="732422" cy="21101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DD6A56E7-030A-4A65-A436-788D30EB3BA1}" type="TxLink">
            <a:rPr lang="en-US" sz="1050" b="0" i="0" u="none" strike="noStrike">
              <a:solidFill>
                <a:srgbClr val="000000"/>
              </a:solidFill>
              <a:latin typeface="Aptos Narrow"/>
            </a:rPr>
            <a:pPr/>
            <a:t>GreenVolt Nigeria</a:t>
          </a:fld>
          <a:endParaRPr lang="en-US" sz="1050"/>
        </a:p>
      </cdr:txBody>
    </cdr:sp>
  </cdr:relSizeAnchor>
  <cdr:relSizeAnchor xmlns:cdr="http://schemas.openxmlformats.org/drawingml/2006/chartDrawing">
    <cdr:from>
      <cdr:x>0.05944</cdr:x>
      <cdr:y>0.73136</cdr:y>
    </cdr:from>
    <cdr:to>
      <cdr:x>0.42017</cdr:x>
      <cdr:y>0.81849</cdr:y>
    </cdr:to>
    <cdr:sp macro="" textlink="Charts!$D$8">
      <cdr:nvSpPr>
        <cdr:cNvPr id="6" name="TextBox 5">
          <a:extLst xmlns:a="http://schemas.openxmlformats.org/drawingml/2006/main">
            <a:ext uri="{FF2B5EF4-FFF2-40B4-BE49-F238E27FC236}">
              <a16:creationId xmlns:a16="http://schemas.microsoft.com/office/drawing/2014/main" id="{05E2F2B7-D5E0-C231-C94F-F8A1C0FA4FF5}"/>
            </a:ext>
          </a:extLst>
        </cdr:cNvPr>
        <cdr:cNvSpPr txBox="1"/>
      </cdr:nvSpPr>
      <cdr:spPr>
        <a:xfrm xmlns:a="http://schemas.openxmlformats.org/drawingml/2006/main">
          <a:off x="120695" y="1771431"/>
          <a:ext cx="732422" cy="21103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9EE62EA3-AB61-4797-994E-7BA929B81796}" type="TxLink">
            <a:rPr lang="en-US" sz="1050" b="0" i="0" u="none" strike="noStrike">
              <a:solidFill>
                <a:srgbClr val="000000"/>
              </a:solidFill>
              <a:latin typeface="Aptos Narrow"/>
            </a:rPr>
            <a:pPr/>
            <a:t>EcoPower Logistics</a:t>
          </a:fld>
          <a:endParaRPr lang="en-US" sz="1050"/>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219076</xdr:colOff>
      <xdr:row>1</xdr:row>
      <xdr:rowOff>28575</xdr:rowOff>
    </xdr:from>
    <xdr:to>
      <xdr:col>9</xdr:col>
      <xdr:colOff>485776</xdr:colOff>
      <xdr:row>26</xdr:row>
      <xdr:rowOff>142875</xdr:rowOff>
    </xdr:to>
    <xdr:sp macro="" textlink="">
      <xdr:nvSpPr>
        <xdr:cNvPr id="2" name="Rectangle 1">
          <a:extLst>
            <a:ext uri="{FF2B5EF4-FFF2-40B4-BE49-F238E27FC236}">
              <a16:creationId xmlns:a16="http://schemas.microsoft.com/office/drawing/2014/main" id="{DBA5A508-0A10-46FA-9712-A9B74190698D}"/>
            </a:ext>
          </a:extLst>
        </xdr:cNvPr>
        <xdr:cNvSpPr/>
      </xdr:nvSpPr>
      <xdr:spPr>
        <a:xfrm>
          <a:off x="219076" y="219075"/>
          <a:ext cx="5753100" cy="487680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514350</xdr:colOff>
      <xdr:row>2</xdr:row>
      <xdr:rowOff>0</xdr:rowOff>
    </xdr:from>
    <xdr:to>
      <xdr:col>6</xdr:col>
      <xdr:colOff>485775</xdr:colOff>
      <xdr:row>4</xdr:row>
      <xdr:rowOff>3291</xdr:rowOff>
    </xdr:to>
    <xdr:sp macro="" textlink="">
      <xdr:nvSpPr>
        <xdr:cNvPr id="3" name="TextBox 2">
          <a:extLst>
            <a:ext uri="{FF2B5EF4-FFF2-40B4-BE49-F238E27FC236}">
              <a16:creationId xmlns:a16="http://schemas.microsoft.com/office/drawing/2014/main" id="{486E6EC0-15D3-4D54-AD06-4198A33C8DB1}"/>
            </a:ext>
          </a:extLst>
        </xdr:cNvPr>
        <xdr:cNvSpPr txBox="1"/>
      </xdr:nvSpPr>
      <xdr:spPr>
        <a:xfrm>
          <a:off x="1733550" y="381000"/>
          <a:ext cx="2409825" cy="3842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In Analysis</a:t>
          </a:r>
          <a:r>
            <a:rPr lang="en-US" sz="1400" b="1" baseline="0"/>
            <a:t> Observations</a:t>
          </a:r>
          <a:endParaRPr lang="en-US" sz="1400" b="1"/>
        </a:p>
      </xdr:txBody>
    </xdr:sp>
    <xdr:clientData/>
  </xdr:twoCellAnchor>
  <xdr:twoCellAnchor>
    <xdr:from>
      <xdr:col>9</xdr:col>
      <xdr:colOff>581026</xdr:colOff>
      <xdr:row>1</xdr:row>
      <xdr:rowOff>28575</xdr:rowOff>
    </xdr:from>
    <xdr:to>
      <xdr:col>19</xdr:col>
      <xdr:colOff>238126</xdr:colOff>
      <xdr:row>26</xdr:row>
      <xdr:rowOff>142875</xdr:rowOff>
    </xdr:to>
    <xdr:sp macro="" textlink="">
      <xdr:nvSpPr>
        <xdr:cNvPr id="12" name="Rectangle 11">
          <a:extLst>
            <a:ext uri="{FF2B5EF4-FFF2-40B4-BE49-F238E27FC236}">
              <a16:creationId xmlns:a16="http://schemas.microsoft.com/office/drawing/2014/main" id="{767F5FA6-0D96-4600-9478-5F7DB287A6F6}"/>
            </a:ext>
          </a:extLst>
        </xdr:cNvPr>
        <xdr:cNvSpPr/>
      </xdr:nvSpPr>
      <xdr:spPr>
        <a:xfrm>
          <a:off x="6067426" y="219075"/>
          <a:ext cx="5753100" cy="487680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352425</xdr:colOff>
      <xdr:row>1</xdr:row>
      <xdr:rowOff>123825</xdr:rowOff>
    </xdr:from>
    <xdr:to>
      <xdr:col>16</xdr:col>
      <xdr:colOff>323850</xdr:colOff>
      <xdr:row>3</xdr:row>
      <xdr:rowOff>127116</xdr:rowOff>
    </xdr:to>
    <xdr:sp macro="" textlink="">
      <xdr:nvSpPr>
        <xdr:cNvPr id="24" name="TextBox 23">
          <a:extLst>
            <a:ext uri="{FF2B5EF4-FFF2-40B4-BE49-F238E27FC236}">
              <a16:creationId xmlns:a16="http://schemas.microsoft.com/office/drawing/2014/main" id="{061613D2-E0A5-169F-CAB0-6D08B98130FE}"/>
            </a:ext>
          </a:extLst>
        </xdr:cNvPr>
        <xdr:cNvSpPr txBox="1"/>
      </xdr:nvSpPr>
      <xdr:spPr>
        <a:xfrm>
          <a:off x="7667625" y="314325"/>
          <a:ext cx="2409825" cy="3842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In Analysis</a:t>
          </a:r>
          <a:r>
            <a:rPr lang="en-US" sz="1400" b="1" baseline="0"/>
            <a:t> Recommendations</a:t>
          </a:r>
          <a:endParaRPr lang="en-US" sz="1400" b="1"/>
        </a:p>
      </xdr:txBody>
    </xdr:sp>
    <xdr:clientData/>
  </xdr:twoCellAnchor>
  <xdr:twoCellAnchor>
    <xdr:from>
      <xdr:col>0</xdr:col>
      <xdr:colOff>409575</xdr:colOff>
      <xdr:row>4</xdr:row>
      <xdr:rowOff>28575</xdr:rowOff>
    </xdr:from>
    <xdr:to>
      <xdr:col>9</xdr:col>
      <xdr:colOff>304800</xdr:colOff>
      <xdr:row>26</xdr:row>
      <xdr:rowOff>57150</xdr:rowOff>
    </xdr:to>
    <xdr:sp macro="" textlink="">
      <xdr:nvSpPr>
        <xdr:cNvPr id="25" name="TextBox 24">
          <a:extLst>
            <a:ext uri="{FF2B5EF4-FFF2-40B4-BE49-F238E27FC236}">
              <a16:creationId xmlns:a16="http://schemas.microsoft.com/office/drawing/2014/main" id="{7A2776F8-A9D2-3AD4-60BF-7CBD7F52B7A3}"/>
            </a:ext>
          </a:extLst>
        </xdr:cNvPr>
        <xdr:cNvSpPr txBox="1"/>
      </xdr:nvSpPr>
      <xdr:spPr>
        <a:xfrm>
          <a:off x="409575" y="790575"/>
          <a:ext cx="5381625" cy="421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1.</a:t>
          </a:r>
          <a:r>
            <a:rPr lang="en-US" sz="1100" b="1" baseline="0"/>
            <a:t> </a:t>
          </a:r>
          <a:r>
            <a:rPr lang="en-US" b="1"/>
            <a:t>Supplier On-Time Delivery Performance: </a:t>
          </a:r>
          <a:r>
            <a:rPr lang="en-US"/>
            <a:t>SunCore Energy has the highest on-time delivery rate at </a:t>
          </a:r>
          <a:r>
            <a:rPr lang="en-US" b="1"/>
            <a:t>88%</a:t>
          </a:r>
          <a:r>
            <a:rPr lang="en-US"/>
            <a:t>, while SolarTech Supplies has the lowest at </a:t>
          </a:r>
          <a:r>
            <a:rPr lang="en-US" b="1"/>
            <a:t>81%</a:t>
          </a:r>
          <a:r>
            <a:rPr lang="en-US"/>
            <a:t>. This indicates a </a:t>
          </a:r>
          <a:r>
            <a:rPr lang="en-US" b="1"/>
            <a:t>7 percentage-point performance gap</a:t>
          </a:r>
          <a:r>
            <a:rPr lang="en-US"/>
            <a:t> across suppliers.</a:t>
          </a:r>
        </a:p>
        <a:p>
          <a:pPr algn="l"/>
          <a:endParaRPr lang="en-US" b="1"/>
        </a:p>
        <a:p>
          <a:pPr algn="l"/>
          <a:r>
            <a:rPr lang="en-US" b="1"/>
            <a:t>2. Supplier Damage Rate: </a:t>
          </a:r>
          <a:r>
            <a:rPr lang="en-US"/>
            <a:t>SunCore Energy has the highest damage rate at </a:t>
          </a:r>
          <a:r>
            <a:rPr lang="en-US" b="1"/>
            <a:t>2.07%</a:t>
          </a:r>
          <a:r>
            <a:rPr lang="en-US"/>
            <a:t>, while GreenVolt Nigeria and EcoPower Logistics have the lowest at </a:t>
          </a:r>
          <a:r>
            <a:rPr lang="en-US" b="1"/>
            <a:t>1.79%</a:t>
          </a:r>
          <a:r>
            <a:rPr lang="en-US"/>
            <a:t>. SunCore may require further investigation into </a:t>
          </a:r>
          <a:r>
            <a:rPr lang="en-US" b="1"/>
            <a:t>handling, packaging, or transportation practices</a:t>
          </a:r>
          <a:r>
            <a:rPr lang="en-US"/>
            <a:t>.</a:t>
          </a:r>
        </a:p>
        <a:p>
          <a:pPr algn="l"/>
          <a:endParaRPr lang="en-US" b="1"/>
        </a:p>
        <a:p>
          <a:pPr algn="l"/>
          <a:r>
            <a:rPr lang="en-US" b="1"/>
            <a:t>3.  Supplier</a:t>
          </a:r>
          <a:r>
            <a:rPr lang="en-US" b="1" baseline="0"/>
            <a:t> Performance Score: </a:t>
          </a:r>
          <a:r>
            <a:rPr lang="en-US"/>
            <a:t>Supplier performance is closely matched, with SunCore Energy leading at </a:t>
          </a:r>
          <a:r>
            <a:rPr lang="en-US" b="1"/>
            <a:t>94.45</a:t>
          </a:r>
          <a:r>
            <a:rPr lang="en-US"/>
            <a:t>, just </a:t>
          </a:r>
          <a:r>
            <a:rPr lang="en-US" b="1"/>
            <a:t>2.53 points</a:t>
          </a:r>
          <a:r>
            <a:rPr lang="en-US"/>
            <a:t> ahead of SolarTech Supplies at </a:t>
          </a:r>
          <a:r>
            <a:rPr lang="en-US" b="1"/>
            <a:t>91.92</a:t>
          </a:r>
          <a:r>
            <a:rPr lang="en-US"/>
            <a:t>.</a:t>
          </a:r>
        </a:p>
        <a:p>
          <a:pPr algn="l"/>
          <a:endParaRPr lang="en-US" b="1"/>
        </a:p>
        <a:p>
          <a:pPr algn="l"/>
          <a:r>
            <a:rPr lang="en-US" b="1"/>
            <a:t>4. Which renewable-energy materials have the highest damage rates and shipment losses?: </a:t>
          </a:r>
          <a:r>
            <a:rPr lang="en-US"/>
            <a:t>Monitoring Equipment has the highest damage rate at </a:t>
          </a:r>
          <a:r>
            <a:rPr lang="en-US" b="1"/>
            <a:t>2.23%</a:t>
          </a:r>
          <a:r>
            <a:rPr lang="en-US"/>
            <a:t>, followed by Cables &amp; Protection (</a:t>
          </a:r>
          <a:r>
            <a:rPr lang="en-US" b="1"/>
            <a:t>2.10%</a:t>
          </a:r>
          <a:r>
            <a:rPr lang="en-US"/>
            <a:t>) and Hybrid Inverters (</a:t>
          </a:r>
          <a:r>
            <a:rPr lang="en-US" b="1"/>
            <a:t>2.07%</a:t>
          </a:r>
          <a:r>
            <a:rPr lang="en-US"/>
            <a:t>), while Mounting Structures record the lowest at </a:t>
          </a:r>
          <a:r>
            <a:rPr lang="en-US" b="1"/>
            <a:t>1.56%</a:t>
          </a:r>
          <a:r>
            <a:rPr lang="en-US"/>
            <a:t>.</a:t>
          </a:r>
        </a:p>
        <a:p>
          <a:pPr algn="l"/>
          <a:endParaRPr lang="en-US" b="1"/>
        </a:p>
        <a:p>
          <a:pPr algn="l"/>
          <a:r>
            <a:rPr lang="en-US" b="1"/>
            <a:t>5. Does longer transportation distance lead to higher freight costs, longer transit times, or greater damage?: </a:t>
          </a:r>
          <a:r>
            <a:rPr lang="en-US"/>
            <a:t>Longer routes generally drive up freight costs and transit times, while damage rates vary considerably across shipments.</a:t>
          </a:r>
        </a:p>
        <a:p>
          <a:pPr algn="l"/>
          <a:endParaRPr lang="en-US" b="1"/>
        </a:p>
        <a:p>
          <a:pPr algn="l"/>
          <a:r>
            <a:rPr lang="en-US" b="1"/>
            <a:t>6. Which origin-destination routes experience the highest delays and cost overruns?: </a:t>
          </a:r>
          <a:r>
            <a:rPr lang="en-US"/>
            <a:t>Rivers has the largest cost overrun at </a:t>
          </a:r>
          <a:r>
            <a:rPr lang="en-US" b="1"/>
            <a:t>₦182.4K</a:t>
          </a:r>
          <a:r>
            <a:rPr lang="en-US"/>
            <a:t>, followed by Rivers → Kaduna at </a:t>
          </a:r>
          <a:r>
            <a:rPr lang="en-US" b="1"/>
            <a:t>₦155.4K</a:t>
          </a:r>
          <a:r>
            <a:rPr lang="en-US"/>
            <a:t>, suggesting these routes deserve closer review of freight pricing, distance and route efficiency.</a:t>
          </a:r>
          <a:endParaRPr lang="en-US" b="1"/>
        </a:p>
        <a:p>
          <a:pPr algn="l"/>
          <a:endParaRPr lang="en-US" sz="1100" b="0"/>
        </a:p>
      </xdr:txBody>
    </xdr:sp>
    <xdr:clientData/>
  </xdr:twoCellAnchor>
  <xdr:twoCellAnchor>
    <xdr:from>
      <xdr:col>10</xdr:col>
      <xdr:colOff>104775</xdr:colOff>
      <xdr:row>3</xdr:row>
      <xdr:rowOff>104775</xdr:rowOff>
    </xdr:from>
    <xdr:to>
      <xdr:col>19</xdr:col>
      <xdr:colOff>0</xdr:colOff>
      <xdr:row>25</xdr:row>
      <xdr:rowOff>133350</xdr:rowOff>
    </xdr:to>
    <xdr:sp macro="" textlink="">
      <xdr:nvSpPr>
        <xdr:cNvPr id="26" name="TextBox 25">
          <a:extLst>
            <a:ext uri="{FF2B5EF4-FFF2-40B4-BE49-F238E27FC236}">
              <a16:creationId xmlns:a16="http://schemas.microsoft.com/office/drawing/2014/main" id="{5A3711BE-9601-72B4-7A8E-90FFD6728507}"/>
            </a:ext>
          </a:extLst>
        </xdr:cNvPr>
        <xdr:cNvSpPr txBox="1"/>
      </xdr:nvSpPr>
      <xdr:spPr>
        <a:xfrm>
          <a:off x="6200775" y="676275"/>
          <a:ext cx="5381625" cy="421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b="1"/>
            <a:t>1. Investigate the three highest-delay routes</a:t>
          </a:r>
          <a:r>
            <a:rPr lang="en-US"/>
            <a:t> — Rivers → Niger, Oyo → Anambra and Edo → Kwara to identify recurring causes of the 7-day average delays. </a:t>
          </a:r>
        </a:p>
        <a:p>
          <a:pPr algn="l"/>
          <a:endParaRPr lang="en-US"/>
        </a:p>
        <a:p>
          <a:pPr algn="l"/>
          <a:r>
            <a:rPr lang="en-US" b="1"/>
            <a:t>2. Review high-cost routes</a:t>
          </a:r>
          <a:r>
            <a:rPr lang="en-US"/>
            <a:t>, particularly Delta → Rivers and Rivers → Kaduna, for freight pricing, route planning and carrier efficiency. </a:t>
          </a:r>
        </a:p>
        <a:p>
          <a:pPr algn="l"/>
          <a:endParaRPr lang="en-US"/>
        </a:p>
        <a:p>
          <a:pPr algn="l"/>
          <a:r>
            <a:rPr lang="en-US" b="1"/>
            <a:t>3. Introduce additional handling controls for vulnerable materials</a:t>
          </a:r>
          <a:r>
            <a:rPr lang="en-US"/>
            <a:t>, especially Monitoring Equipment, Cables &amp; Protection and Hybrid Inverters, which recorded the highest damage rates. </a:t>
          </a:r>
        </a:p>
        <a:p>
          <a:pPr algn="l"/>
          <a:endParaRPr lang="en-US"/>
        </a:p>
        <a:p>
          <a:pPr algn="l"/>
          <a:r>
            <a:rPr lang="en-US" b="1"/>
            <a:t>4. Work with suppliers on specific performance gaps rather than making broad supplier changes.</a:t>
          </a:r>
          <a:r>
            <a:rPr lang="en-US"/>
            <a:t> Supplier scores are closely grouped, so the data suggests there is no large performance gap between the suppliers. </a:t>
          </a:r>
        </a:p>
        <a:p>
          <a:pPr algn="l"/>
          <a:endParaRPr lang="en-US" b="1"/>
        </a:p>
        <a:p>
          <a:pPr algn="l"/>
          <a:r>
            <a:rPr lang="en-US" b="1"/>
            <a:t>5. Track these interventions monthly</a:t>
          </a:r>
          <a:r>
            <a:rPr lang="en-US"/>
            <a:t> using on-time delivery, delay days, damage rate and cost variance to determine whether performance improves.</a:t>
          </a:r>
          <a:endParaRPr lang="en-US" sz="1100" b="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85725</xdr:colOff>
      <xdr:row>0</xdr:row>
      <xdr:rowOff>66674</xdr:rowOff>
    </xdr:from>
    <xdr:to>
      <xdr:col>11</xdr:col>
      <xdr:colOff>409574</xdr:colOff>
      <xdr:row>27</xdr:row>
      <xdr:rowOff>85725</xdr:rowOff>
    </xdr:to>
    <xdr:sp macro="" textlink="">
      <xdr:nvSpPr>
        <xdr:cNvPr id="2" name="Rectangle 1">
          <a:extLst>
            <a:ext uri="{FF2B5EF4-FFF2-40B4-BE49-F238E27FC236}">
              <a16:creationId xmlns:a16="http://schemas.microsoft.com/office/drawing/2014/main" id="{519010CD-F0E5-4DB8-B1E1-CB6CA94358E5}"/>
            </a:ext>
          </a:extLst>
        </xdr:cNvPr>
        <xdr:cNvSpPr/>
      </xdr:nvSpPr>
      <xdr:spPr>
        <a:xfrm>
          <a:off x="85725" y="66674"/>
          <a:ext cx="7029449" cy="5162551"/>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381000</xdr:colOff>
      <xdr:row>1</xdr:row>
      <xdr:rowOff>38100</xdr:rowOff>
    </xdr:from>
    <xdr:to>
      <xdr:col>6</xdr:col>
      <xdr:colOff>352425</xdr:colOff>
      <xdr:row>3</xdr:row>
      <xdr:rowOff>41391</xdr:rowOff>
    </xdr:to>
    <xdr:sp macro="" textlink="">
      <xdr:nvSpPr>
        <xdr:cNvPr id="3" name="TextBox 2">
          <a:extLst>
            <a:ext uri="{FF2B5EF4-FFF2-40B4-BE49-F238E27FC236}">
              <a16:creationId xmlns:a16="http://schemas.microsoft.com/office/drawing/2014/main" id="{934C34F3-10AB-40D3-A601-DCD63C5D49F4}"/>
            </a:ext>
          </a:extLst>
        </xdr:cNvPr>
        <xdr:cNvSpPr txBox="1"/>
      </xdr:nvSpPr>
      <xdr:spPr>
        <a:xfrm>
          <a:off x="1600200" y="228600"/>
          <a:ext cx="2409825" cy="3842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Final Recommendations</a:t>
          </a:r>
        </a:p>
      </xdr:txBody>
    </xdr:sp>
    <xdr:clientData/>
  </xdr:twoCellAnchor>
  <xdr:twoCellAnchor>
    <xdr:from>
      <xdr:col>0</xdr:col>
      <xdr:colOff>276225</xdr:colOff>
      <xdr:row>3</xdr:row>
      <xdr:rowOff>66675</xdr:rowOff>
    </xdr:from>
    <xdr:to>
      <xdr:col>11</xdr:col>
      <xdr:colOff>285750</xdr:colOff>
      <xdr:row>25</xdr:row>
      <xdr:rowOff>95250</xdr:rowOff>
    </xdr:to>
    <xdr:sp macro="" textlink="">
      <xdr:nvSpPr>
        <xdr:cNvPr id="8" name="TextBox 7">
          <a:extLst>
            <a:ext uri="{FF2B5EF4-FFF2-40B4-BE49-F238E27FC236}">
              <a16:creationId xmlns:a16="http://schemas.microsoft.com/office/drawing/2014/main" id="{01DE9FB7-192C-407E-87BA-8C2C28A5ADDB}"/>
            </a:ext>
          </a:extLst>
        </xdr:cNvPr>
        <xdr:cNvSpPr txBox="1"/>
      </xdr:nvSpPr>
      <xdr:spPr>
        <a:xfrm>
          <a:off x="276225" y="638175"/>
          <a:ext cx="6715125" cy="421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My recommendation is to move from general performance monitoring to targeted route, material, and supplier improvement over the next 90 days.</a:t>
          </a:r>
        </a:p>
        <a:p>
          <a:endParaRPr lang="en-US"/>
        </a:p>
        <a:p>
          <a:r>
            <a:rPr lang="en-US"/>
            <a:t>I would work with the </a:t>
          </a:r>
          <a:r>
            <a:rPr lang="en-US" b="1"/>
            <a:t>Logistics, Procurement, Operations, Finance, and supplier teams</a:t>
          </a:r>
          <a:r>
            <a:rPr lang="en-US"/>
            <a:t> to identify the root causes of delays and cost overruns on the highest-risk routes, particularly </a:t>
          </a:r>
          <a:r>
            <a:rPr lang="en-US" b="1"/>
            <a:t>Rivers → Niger, Oyo → Anambra, Edo → Kwara, and Delta → Rivers</a:t>
          </a:r>
          <a:r>
            <a:rPr lang="en-US"/>
            <a:t>. Within the first </a:t>
          </a:r>
          <a:r>
            <a:rPr lang="en-US" b="1"/>
            <a:t>30 days</a:t>
          </a:r>
          <a:r>
            <a:rPr lang="en-US"/>
            <a:t>, I would review these routes against transport partners, freight costs, planned versus actual transit times, and shipment volumes.</a:t>
          </a:r>
        </a:p>
        <a:p>
          <a:endParaRPr lang="en-US"/>
        </a:p>
        <a:p>
          <a:r>
            <a:rPr lang="en-US"/>
            <a:t>At the same time, I would introduce additional handling and packaging checks for the materials with the highest damage rates, especially </a:t>
          </a:r>
          <a:r>
            <a:rPr lang="en-US" b="1"/>
            <a:t>Monitoring Equipment, Cables &amp; Protection, and Hybrid Inverters</a:t>
          </a:r>
          <a:r>
            <a:rPr lang="en-US"/>
            <a:t>. I would target a </a:t>
          </a:r>
          <a:r>
            <a:rPr lang="en-US" b="1"/>
            <a:t>15% reduction in average delay days, a 10% reduction in damage rate, and a 10% reduction in route-level cost variance within 90 days</a:t>
          </a:r>
          <a:r>
            <a:rPr lang="en-US"/>
            <a:t>.</a:t>
          </a:r>
        </a:p>
        <a:p>
          <a:endParaRPr lang="en-US"/>
        </a:p>
        <a:p>
          <a:r>
            <a:rPr lang="en-US"/>
            <a:t>I would also use the supplier performance scores as a </a:t>
          </a:r>
          <a:r>
            <a:rPr lang="en-US" b="1"/>
            <a:t>continuous improvement tool</a:t>
          </a:r>
          <a:r>
            <a:rPr lang="en-US"/>
            <a:t>, rather than relying on the overall score alone. Since supplier scores are relatively close, I would work with each supplier to address their specific gaps in delivery reliability, damage, and cost.</a:t>
          </a:r>
        </a:p>
        <a:p>
          <a:endParaRPr lang="en-US"/>
        </a:p>
        <a:p>
          <a:r>
            <a:rPr lang="en-US"/>
            <a:t>Finally, I would establish a </a:t>
          </a:r>
          <a:r>
            <a:rPr lang="en-US" b="1"/>
            <a:t>monthly performance review</a:t>
          </a:r>
          <a:r>
            <a:rPr lang="en-US"/>
            <a:t> involving Logistics, Procurement, Operations, Finance, suppliers, and relevant community representatives. This would allow us to track progress against the targets, identify recurring problems early, and make decisions based on measurable results.</a:t>
          </a:r>
        </a:p>
        <a:p>
          <a:endParaRPr lang="en-US"/>
        </a:p>
        <a:p>
          <a:r>
            <a:rPr lang="en-US" b="1"/>
            <a:t>Expected outcome:</a:t>
          </a:r>
          <a:r>
            <a:rPr lang="en-US"/>
            <a:t> By the end of 90 days, I aim to have a more reliable supply chain, fewer damaged materials, better control of freight spending, and fewer delays affecting project execution and host-community service delivery.</a:t>
          </a:r>
        </a:p>
        <a:p>
          <a:pPr algn="l"/>
          <a:endParaRPr lang="en-US" sz="1100" b="0"/>
        </a:p>
      </xdr:txBody>
    </xdr:sp>
    <xdr:clientData/>
  </xdr:twoCellAnchor>
  <xdr:twoCellAnchor>
    <xdr:from>
      <xdr:col>11</xdr:col>
      <xdr:colOff>533400</xdr:colOff>
      <xdr:row>0</xdr:row>
      <xdr:rowOff>85724</xdr:rowOff>
    </xdr:from>
    <xdr:to>
      <xdr:col>23</xdr:col>
      <xdr:colOff>247649</xdr:colOff>
      <xdr:row>27</xdr:row>
      <xdr:rowOff>76199</xdr:rowOff>
    </xdr:to>
    <xdr:sp macro="" textlink="">
      <xdr:nvSpPr>
        <xdr:cNvPr id="10" name="Rectangle 9">
          <a:extLst>
            <a:ext uri="{FF2B5EF4-FFF2-40B4-BE49-F238E27FC236}">
              <a16:creationId xmlns:a16="http://schemas.microsoft.com/office/drawing/2014/main" id="{C14459D0-41CF-43C1-8757-9789DCE20088}"/>
            </a:ext>
          </a:extLst>
        </xdr:cNvPr>
        <xdr:cNvSpPr/>
      </xdr:nvSpPr>
      <xdr:spPr>
        <a:xfrm>
          <a:off x="7239000" y="85724"/>
          <a:ext cx="7029449" cy="5133975"/>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xdr:txBody>
    </xdr:sp>
    <xdr:clientData/>
  </xdr:twoCellAnchor>
  <xdr:twoCellAnchor>
    <xdr:from>
      <xdr:col>14</xdr:col>
      <xdr:colOff>247650</xdr:colOff>
      <xdr:row>0</xdr:row>
      <xdr:rowOff>104775</xdr:rowOff>
    </xdr:from>
    <xdr:to>
      <xdr:col>21</xdr:col>
      <xdr:colOff>314325</xdr:colOff>
      <xdr:row>2</xdr:row>
      <xdr:rowOff>108066</xdr:rowOff>
    </xdr:to>
    <xdr:sp macro="" textlink="">
      <xdr:nvSpPr>
        <xdr:cNvPr id="11" name="TextBox 10">
          <a:extLst>
            <a:ext uri="{FF2B5EF4-FFF2-40B4-BE49-F238E27FC236}">
              <a16:creationId xmlns:a16="http://schemas.microsoft.com/office/drawing/2014/main" id="{70EC4E24-C1AD-F213-CA25-B55E1028C924}"/>
            </a:ext>
          </a:extLst>
        </xdr:cNvPr>
        <xdr:cNvSpPr txBox="1"/>
      </xdr:nvSpPr>
      <xdr:spPr>
        <a:xfrm>
          <a:off x="8782050" y="104775"/>
          <a:ext cx="4333875" cy="3842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How this</a:t>
          </a:r>
          <a:r>
            <a:rPr lang="en-US" sz="1400" b="1" baseline="0"/>
            <a:t> Recommendations Affect Each Stakeholder</a:t>
          </a:r>
          <a:endParaRPr lang="en-US" sz="1400" b="1"/>
        </a:p>
      </xdr:txBody>
    </xdr:sp>
    <xdr:clientData/>
  </xdr:twoCellAnchor>
  <xdr:twoCellAnchor>
    <xdr:from>
      <xdr:col>11</xdr:col>
      <xdr:colOff>552450</xdr:colOff>
      <xdr:row>2</xdr:row>
      <xdr:rowOff>28576</xdr:rowOff>
    </xdr:from>
    <xdr:to>
      <xdr:col>23</xdr:col>
      <xdr:colOff>228599</xdr:colOff>
      <xdr:row>27</xdr:row>
      <xdr:rowOff>0</xdr:rowOff>
    </xdr:to>
    <xdr:sp macro="" textlink="">
      <xdr:nvSpPr>
        <xdr:cNvPr id="13" name="TextBox 12">
          <a:extLst>
            <a:ext uri="{FF2B5EF4-FFF2-40B4-BE49-F238E27FC236}">
              <a16:creationId xmlns:a16="http://schemas.microsoft.com/office/drawing/2014/main" id="{8547187C-B76D-4630-7257-27C130AA1502}"/>
            </a:ext>
          </a:extLst>
        </xdr:cNvPr>
        <xdr:cNvSpPr txBox="1"/>
      </xdr:nvSpPr>
      <xdr:spPr>
        <a:xfrm>
          <a:off x="7258050" y="409576"/>
          <a:ext cx="6991349" cy="4733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Host Communities &amp; Community Leaders:</a:t>
          </a:r>
          <a:br>
            <a:rPr lang="en-US" sz="1000"/>
          </a:br>
          <a:r>
            <a:rPr lang="en-US" sz="1000"/>
            <a:t>I would use the delivery data to identify routes where delays could affect installation activities or service availability and communicate expected delays early.</a:t>
          </a:r>
        </a:p>
        <a:p>
          <a:endParaRPr lang="en-US" sz="1000"/>
        </a:p>
        <a:p>
          <a:r>
            <a:rPr lang="en-US" sz="1000" b="1"/>
            <a:t>Logistics/Supply Chain:</a:t>
          </a:r>
          <a:br>
            <a:rPr lang="en-US" sz="1000"/>
          </a:br>
          <a:r>
            <a:rPr lang="en-US" sz="1000"/>
            <a:t>I would focus on route optimisation, transport-partner performance and delivery tracking.</a:t>
          </a:r>
        </a:p>
        <a:p>
          <a:endParaRPr lang="en-US" sz="1000"/>
        </a:p>
        <a:p>
          <a:r>
            <a:rPr lang="en-US" sz="1000" b="1"/>
            <a:t>Procurement:</a:t>
          </a:r>
          <a:br>
            <a:rPr lang="en-US" sz="1000"/>
          </a:br>
          <a:r>
            <a:rPr lang="en-US" sz="1000"/>
            <a:t>I would use supplier performance data during supplier reviews and future procurement decisions.</a:t>
          </a:r>
        </a:p>
        <a:p>
          <a:endParaRPr lang="en-US" sz="1000"/>
        </a:p>
        <a:p>
          <a:r>
            <a:rPr lang="en-US" sz="1000" b="1"/>
            <a:t>Operations/Project Team:</a:t>
          </a:r>
          <a:br>
            <a:rPr lang="en-US" sz="1000"/>
          </a:br>
          <a:r>
            <a:rPr lang="en-US" sz="1000"/>
            <a:t>I would provide visibility on when critical materials are expected to arrive so projects can plan around potential delays.</a:t>
          </a:r>
        </a:p>
        <a:p>
          <a:endParaRPr lang="en-US" sz="1000"/>
        </a:p>
        <a:p>
          <a:r>
            <a:rPr lang="en-US" sz="1000" b="1"/>
            <a:t>Finance:</a:t>
          </a:r>
          <a:br>
            <a:rPr lang="en-US" sz="1000"/>
          </a:br>
          <a:r>
            <a:rPr lang="en-US" sz="1000"/>
            <a:t>I would track freight costs against budgets and investigate significant cost variances.</a:t>
          </a:r>
        </a:p>
        <a:p>
          <a:endParaRPr lang="en-US" sz="1000"/>
        </a:p>
        <a:p>
          <a:r>
            <a:rPr lang="en-US" sz="1000" b="1"/>
            <a:t>Suppliers &amp; Transport Partners:</a:t>
          </a:r>
          <a:br>
            <a:rPr lang="en-US" sz="1000"/>
          </a:br>
          <a:r>
            <a:rPr lang="en-US" sz="1000"/>
            <a:t>I would share their specific performance gaps and agree on measurable corrective actions rather than simply giving them an overall rating.</a:t>
          </a:r>
        </a:p>
        <a:p>
          <a:endParaRPr lang="en-US" sz="1000"/>
        </a:p>
        <a:p>
          <a:r>
            <a:rPr lang="en-US" sz="1000" b="1"/>
            <a:t>Management:</a:t>
          </a:r>
          <a:br>
            <a:rPr lang="en-US" sz="1000"/>
          </a:br>
          <a:r>
            <a:rPr lang="en-US" sz="1000"/>
            <a:t>I would provide a simple monthly dashboard showing </a:t>
          </a:r>
          <a:r>
            <a:rPr lang="en-US" sz="1000" b="1"/>
            <a:t>what is improving, what is not, where money is being lost, and what action is required.</a:t>
          </a:r>
        </a:p>
        <a:p>
          <a:endParaRPr lang="en-US" sz="1000"/>
        </a:p>
        <a:p>
          <a:r>
            <a:rPr lang="en-US" sz="1000" b="1"/>
            <a:t>The key principle</a:t>
          </a:r>
        </a:p>
        <a:p>
          <a:r>
            <a:rPr lang="en-US" sz="1000"/>
            <a:t>I wouldn't try to fix everything at once.</a:t>
          </a:r>
        </a:p>
        <a:p>
          <a:r>
            <a:rPr lang="en-US" sz="1000" b="1"/>
            <a:t>First 30 days → Diagnose.</a:t>
          </a:r>
          <a:br>
            <a:rPr lang="en-US" sz="1000"/>
          </a:br>
          <a:r>
            <a:rPr lang="en-US" sz="1000" b="1"/>
            <a:t>Days 30–60 → Implement corrective actions.</a:t>
          </a:r>
          <a:br>
            <a:rPr lang="en-US" sz="1000"/>
          </a:br>
          <a:r>
            <a:rPr lang="en-US" sz="1000" b="1"/>
            <a:t>Days 60–90 → Measure and adjust.</a:t>
          </a:r>
          <a:endParaRPr lang="en-US" sz="1000"/>
        </a:p>
        <a:p>
          <a:pPr algn="l"/>
          <a:endParaRPr lang="en-US" sz="1000" b="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sibor" refreshedDate="46284.637447337962" createdVersion="8" refreshedVersion="8" minRefreshableVersion="3" recordCount="300" xr:uid="{BF984C7A-E1CE-4CA2-B1AE-24E8ECB5DC71}">
  <cacheSource type="worksheet">
    <worksheetSource name="Table2"/>
  </cacheSource>
  <cacheFields count="31">
    <cacheField name="Shipment_ID" numFmtId="0">
      <sharedItems/>
    </cacheField>
    <cacheField name="Planned_Date" numFmtId="14">
      <sharedItems containsSemiMixedTypes="0" containsNonDate="0" containsDate="1" containsString="0" minDate="2026-04-07T00:00:00" maxDate="2027-02-01T00:00:00"/>
    </cacheField>
    <cacheField name="Delivery_Date" numFmtId="14">
      <sharedItems containsSemiMixedTypes="0" containsNonDate="0" containsDate="1" containsString="0" minDate="2026-01-10T00:00:00" maxDate="2026-09-07T00:00:00" count="176">
        <d v="2026-04-12T00:00:00"/>
        <d v="2026-06-13T00:00:00"/>
        <d v="2026-08-19T00:00:00"/>
        <d v="2026-01-14T00:00:00"/>
        <d v="2026-05-20T00:00:00"/>
        <d v="2026-02-21T00:00:00"/>
        <d v="2026-03-11T00:00:00"/>
        <d v="2026-05-25T00:00:00"/>
        <d v="2026-04-26T00:00:00"/>
        <d v="2026-08-24T00:00:00"/>
        <d v="2026-07-10T00:00:00"/>
        <d v="2026-07-14T00:00:00"/>
        <d v="2026-03-08T00:00:00"/>
        <d v="2026-02-28T00:00:00"/>
        <d v="2026-06-03T00:00:00"/>
        <d v="2026-06-19T00:00:00"/>
        <d v="2026-07-15T00:00:00"/>
        <d v="2026-01-18T00:00:00"/>
        <d v="2026-04-02T00:00:00"/>
        <d v="2026-01-27T00:00:00"/>
        <d v="2026-01-19T00:00:00"/>
        <d v="2026-08-20T00:00:00"/>
        <d v="2026-08-07T00:00:00"/>
        <d v="2026-04-25T00:00:00"/>
        <d v="2026-02-15T00:00:00"/>
        <d v="2026-07-17T00:00:00"/>
        <d v="2026-08-23T00:00:00"/>
        <d v="2026-05-06T00:00:00"/>
        <d v="2026-04-16T00:00:00"/>
        <d v="2026-01-25T00:00:00"/>
        <d v="2026-06-10T00:00:00"/>
        <d v="2026-08-14T00:00:00"/>
        <d v="2026-06-14T00:00:00"/>
        <d v="2026-07-18T00:00:00"/>
        <d v="2026-07-09T00:00:00"/>
        <d v="2026-08-26T00:00:00"/>
        <d v="2026-06-15T00:00:00"/>
        <d v="2026-08-18T00:00:00"/>
        <d v="2026-06-25T00:00:00"/>
        <d v="2026-05-31T00:00:00"/>
        <d v="2026-05-08T00:00:00"/>
        <d v="2026-08-15T00:00:00"/>
        <d v="2026-01-10T00:00:00"/>
        <d v="2026-04-22T00:00:00"/>
        <d v="2026-07-28T00:00:00"/>
        <d v="2026-05-13T00:00:00"/>
        <d v="2026-04-19T00:00:00"/>
        <d v="2026-05-03T00:00:00"/>
        <d v="2026-05-14T00:00:00"/>
        <d v="2026-04-10T00:00:00"/>
        <d v="2026-01-17T00:00:00"/>
        <d v="2026-01-20T00:00:00"/>
        <d v="2026-01-23T00:00:00"/>
        <d v="2026-08-25T00:00:00"/>
        <d v="2026-08-27T00:00:00"/>
        <d v="2026-02-17T00:00:00"/>
        <d v="2026-07-07T00:00:00"/>
        <d v="2026-04-18T00:00:00"/>
        <d v="2026-02-14T00:00:00"/>
        <d v="2026-02-18T00:00:00"/>
        <d v="2026-04-09T00:00:00"/>
        <d v="2026-07-26T00:00:00"/>
        <d v="2026-05-07T00:00:00"/>
        <d v="2026-05-01T00:00:00"/>
        <d v="2026-06-06T00:00:00"/>
        <d v="2026-03-04T00:00:00"/>
        <d v="2026-07-08T00:00:00"/>
        <d v="2026-02-23T00:00:00"/>
        <d v="2026-06-24T00:00:00"/>
        <d v="2026-01-13T00:00:00"/>
        <d v="2026-05-17T00:00:00"/>
        <d v="2026-04-05T00:00:00"/>
        <d v="2026-02-10T00:00:00"/>
        <d v="2026-08-17T00:00:00"/>
        <d v="2026-04-21T00:00:00"/>
        <d v="2026-01-28T00:00:00"/>
        <d v="2026-02-05T00:00:00"/>
        <d v="2026-03-29T00:00:00"/>
        <d v="2026-09-01T00:00:00"/>
        <d v="2026-06-02T00:00:00"/>
        <d v="2026-02-13T00:00:00"/>
        <d v="2026-01-11T00:00:00"/>
        <d v="2026-03-25T00:00:00"/>
        <d v="2026-05-09T00:00:00"/>
        <d v="2026-03-22T00:00:00"/>
        <d v="2026-08-04T00:00:00"/>
        <d v="2026-07-11T00:00:00"/>
        <d v="2026-06-07T00:00:00"/>
        <d v="2026-04-15T00:00:00"/>
        <d v="2026-04-04T00:00:00"/>
        <d v="2026-06-22T00:00:00"/>
        <d v="2026-02-24T00:00:00"/>
        <d v="2026-04-28T00:00:00"/>
        <d v="2026-02-16T00:00:00"/>
        <d v="2026-02-25T00:00:00"/>
        <d v="2026-05-12T00:00:00"/>
        <d v="2026-03-20T00:00:00"/>
        <d v="2026-03-03T00:00:00"/>
        <d v="2026-06-27T00:00:00"/>
        <d v="2026-02-26T00:00:00"/>
        <d v="2026-04-23T00:00:00"/>
        <d v="2026-05-27T00:00:00"/>
        <d v="2026-08-03T00:00:00"/>
        <d v="2026-05-18T00:00:00"/>
        <d v="2026-08-28T00:00:00"/>
        <d v="2026-03-28T00:00:00"/>
        <d v="2026-02-02T00:00:00"/>
        <d v="2026-05-28T00:00:00"/>
        <d v="2026-05-23T00:00:00"/>
        <d v="2026-03-05T00:00:00"/>
        <d v="2026-05-16T00:00:00"/>
        <d v="2026-06-29T00:00:00"/>
        <d v="2026-03-09T00:00:00"/>
        <d v="2026-04-06T00:00:00"/>
        <d v="2026-03-17T00:00:00"/>
        <d v="2026-05-26T00:00:00"/>
        <d v="2026-02-12T00:00:00"/>
        <d v="2026-07-01T00:00:00"/>
        <d v="2026-05-22T00:00:00"/>
        <d v="2026-06-26T00:00:00"/>
        <d v="2026-03-31T00:00:00"/>
        <d v="2026-06-18T00:00:00"/>
        <d v="2026-03-13T00:00:00"/>
        <d v="2026-07-12T00:00:00"/>
        <d v="2026-04-03T00:00:00"/>
        <d v="2026-04-17T00:00:00"/>
        <d v="2026-06-16T00:00:00"/>
        <d v="2026-03-19T00:00:00"/>
        <d v="2026-07-22T00:00:00"/>
        <d v="2026-02-19T00:00:00"/>
        <d v="2026-05-29T00:00:00"/>
        <d v="2026-02-01T00:00:00"/>
        <d v="2026-04-08T00:00:00"/>
        <d v="2026-06-08T00:00:00"/>
        <d v="2026-08-13T00:00:00"/>
        <d v="2026-04-24T00:00:00"/>
        <d v="2026-06-05T00:00:00"/>
        <d v="2026-07-31T00:00:00"/>
        <d v="2026-02-27T00:00:00"/>
        <d v="2026-04-30T00:00:00"/>
        <d v="2026-08-12T00:00:00"/>
        <d v="2026-07-03T00:00:00"/>
        <d v="2026-05-24T00:00:00"/>
        <d v="2026-08-01T00:00:00"/>
        <d v="2026-05-15T00:00:00"/>
        <d v="2026-06-21T00:00:00"/>
        <d v="2026-01-30T00:00:00"/>
        <d v="2026-09-02T00:00:00"/>
        <d v="2026-08-30T00:00:00"/>
        <d v="2026-05-19T00:00:00"/>
        <d v="2026-08-08T00:00:00"/>
        <d v="2026-03-01T00:00:00"/>
        <d v="2026-08-22T00:00:00"/>
        <d v="2026-01-15T00:00:00"/>
        <d v="2026-06-28T00:00:00"/>
        <d v="2026-07-13T00:00:00"/>
        <d v="2026-01-21T00:00:00"/>
        <d v="2026-07-05T00:00:00"/>
        <d v="2026-08-16T00:00:00"/>
        <d v="2026-07-20T00:00:00"/>
        <d v="2026-05-21T00:00:00"/>
        <d v="2026-02-22T00:00:00"/>
        <d v="2026-08-02T00:00:00"/>
        <d v="2026-03-07T00:00:00"/>
        <d v="2026-06-04T00:00:00"/>
        <d v="2026-04-11T00:00:00"/>
        <d v="2026-03-06T00:00:00"/>
        <d v="2026-06-23T00:00:00"/>
        <d v="2026-07-25T00:00:00"/>
        <d v="2026-03-15T00:00:00"/>
        <d v="2026-06-20T00:00:00"/>
        <d v="2026-09-06T00:00:00"/>
        <d v="2026-02-09T00:00:00"/>
        <d v="2026-05-05T00:00:00"/>
        <d v="2026-07-16T00:00:00"/>
        <d v="2026-03-10T00:00:00"/>
      </sharedItems>
      <fieldGroup par="30"/>
    </cacheField>
    <cacheField name="Project_Type" numFmtId="0">
      <sharedItems count="6">
        <s v="Mining Solar Hybrid"/>
        <s v="Community Solar Mini-grid"/>
        <s v="C&amp;I Solar Installation"/>
        <s v="School Solar Electrification"/>
        <s v="Healthcare Solar Backup"/>
        <s v="Solar Water Pump"/>
      </sharedItems>
    </cacheField>
    <cacheField name="Material_Category" numFmtId="0">
      <sharedItems count="8">
        <s v="Cables &amp; Protection"/>
        <s v="Hybrid Inverters"/>
        <s v="Mounting Structures"/>
        <s v="Solar Panels"/>
        <s v="Solar Water Pump"/>
        <s v="Lithium Batteries"/>
        <s v="Monitoring Equipment"/>
        <s v="Transformers"/>
      </sharedItems>
    </cacheField>
    <cacheField name="Supplier" numFmtId="0">
      <sharedItems count="5">
        <s v="GreenVolt Nigeria"/>
        <s v="SunCore Energy"/>
        <s v="SolarTech Supplies"/>
        <s v="PowerGrid Solutions"/>
        <s v="EcoPower Logistics"/>
      </sharedItems>
    </cacheField>
    <cacheField name="Origin_City" numFmtId="0">
      <sharedItems/>
    </cacheField>
    <cacheField name="Origin_State" numFmtId="0">
      <sharedItems/>
    </cacheField>
    <cacheField name="Destination_City" numFmtId="0">
      <sharedItems/>
    </cacheField>
    <cacheField name="Destination_State" numFmtId="0">
      <sharedItems/>
    </cacheField>
    <cacheField name="Route" numFmtId="0">
      <sharedItems count="152">
        <s v="Kaduna → Kwara"/>
        <s v="Kano → Anambra"/>
        <s v="Cross River → Niger"/>
        <s v="Anambra → Rivers"/>
        <s v="Ogun → Kano"/>
        <s v="Plateau → Rivers"/>
        <s v="Cross River → Abia"/>
        <s v="Plateau → Anambra"/>
        <s v="Lagos → Oyo"/>
        <s v="Kwara → Rivers"/>
        <s v="Abia → Rivers"/>
        <s v="Plateau → Enugu"/>
        <s v="Kano → Cross River"/>
        <s v="Ogun → Anambra"/>
        <s v="Kano → Enugu"/>
        <s v="Anambra → Enugu"/>
        <s v="Enugu → Anambra"/>
        <s v="Edo → Enugu"/>
        <s v="Delta → Kano"/>
        <s v="Lagos → Rivers"/>
        <s v="Oyo → Delta"/>
        <s v="Kwara → Cross River"/>
        <s v="Niger → Lagos"/>
        <s v="Kaduna → Plateau"/>
        <s v="Niger → Cross River"/>
        <s v="Kano → Edo"/>
        <s v="Kaduna → Niger"/>
        <s v="Kano → Abia"/>
        <s v="Edo → Cross River"/>
        <s v="Enugu → Kwara"/>
        <s v="Abia → Anambra"/>
        <s v="Kano → Kwara"/>
        <s v="Kaduna → Kano"/>
        <s v="Kwara → Anambra"/>
        <s v="Anambra → Plateau"/>
        <s v="Anambra → Lagos"/>
        <s v="Lagos → Delta"/>
        <s v="Abia → Ogun"/>
        <s v="Kano → Lagos"/>
        <s v="Edo → Kano"/>
        <s v="Kwara → Abia"/>
        <s v="Enugu → Abia"/>
        <s v="Lagos → Ogun"/>
        <s v="Edo → Niger"/>
        <s v="Delta → Oyo"/>
        <s v="Enugu → Oyo"/>
        <s v="Rivers → Kaduna"/>
        <s v="Ogun → Abia"/>
        <s v="Kwara → Lagos"/>
        <s v="Abia → Niger"/>
        <s v="Ogun → Cross River"/>
        <s v="Abia → Delta"/>
        <s v="Kaduna → Oyo"/>
        <s v="Kano → Niger"/>
        <s v="Rivers → Enugu"/>
        <s v="Cross River → Kano"/>
        <s v="Oyo → Lagos"/>
        <s v="Rivers → Kwara"/>
        <s v="Lagos → Cross River"/>
        <s v="Oyo → Kwara"/>
        <s v="Plateau → Lagos"/>
        <s v="Delta → Enugu"/>
        <s v="Cross River → Plateau"/>
        <s v="Lagos → Kaduna"/>
        <s v="Rivers → Abia"/>
        <s v="Ogun → Rivers"/>
        <s v="Kaduna → Abia"/>
        <s v="Kwara → Edo"/>
        <s v="Kwara → Niger"/>
        <s v="Delta → Ogun"/>
        <s v="Niger → Edo"/>
        <s v="Enugu → Kano"/>
        <s v="Cross River → Kwara"/>
        <s v="Abia → Enugu"/>
        <s v="Lagos → Abia"/>
        <s v="Kaduna → Rivers"/>
        <s v="Ogun → Enugu"/>
        <s v="Delta → Plateau"/>
        <s v="Oyo → Enugu"/>
        <s v="Rivers → Lagos"/>
        <s v="Plateau → Kano"/>
        <s v="Kwara → Enugu"/>
        <s v="Niger → Oyo"/>
        <s v="Delta → Abia"/>
        <s v="Plateau → Ogun"/>
        <s v="Anambra → Edo"/>
        <s v="Niger → Delta"/>
        <s v="Delta → Cross River"/>
        <s v="Edo → Ogun"/>
        <s v="Abia → Oyo"/>
        <s v="Rivers → Cross River"/>
        <s v="Delta → Edo"/>
        <s v="Edo → Kwara"/>
        <s v="Kwara → Ogun"/>
        <s v="Delta → Rivers"/>
        <s v="Plateau → Cross River"/>
        <s v="Niger → Kwara"/>
        <s v="Oyo → Cross River"/>
        <s v="Plateau → Abia"/>
        <s v="Lagos → Kano"/>
        <s v="Edo → Kaduna"/>
        <s v="Abia → Cross River"/>
        <s v="Cross River → Kaduna"/>
        <s v="Delta → Anambra"/>
        <s v="Kaduna → Edo"/>
        <s v="Lagos → Kwara"/>
        <s v="Edo → Anambra"/>
        <s v="Lagos → Niger"/>
        <s v="Oyo → Niger"/>
        <s v="Niger → Kano"/>
        <s v="Enugu → Ogun"/>
        <s v="Plateau → Kwara"/>
        <s v="Oyo → Edo"/>
        <s v="Niger → Anambra"/>
        <s v="Enugu → Niger"/>
        <s v="Kaduna → Enugu"/>
        <s v="Ogun → Oyo"/>
        <s v="Cross River → Delta"/>
        <s v="Rivers → Anambra"/>
        <s v="Enugu → Rivers"/>
        <s v="Cross River → Anambra"/>
        <s v="Rivers → Ogun"/>
        <s v="Lagos → Plateau"/>
        <s v="Ogun → Kwara"/>
        <s v="Kwara → Kano"/>
        <s v="Oyo → Abia"/>
        <s v="Edo → Lagos"/>
        <s v="Anambra → Kaduna"/>
        <s v="Niger → Ogun"/>
        <s v="Niger → Kaduna"/>
        <s v="Rivers → Plateau"/>
        <s v="Rivers → Oyo"/>
        <s v="Abia → Kaduna"/>
        <s v="Oyo → Plateau"/>
        <s v="Cross River → Lagos"/>
        <s v="Lagos → Enugu"/>
        <s v="Enugu → Lagos"/>
        <s v="Rivers → Delta"/>
        <s v="Oyo → Anambra"/>
        <s v="Enugu → Kaduna"/>
        <s v="Kwara → Plateau"/>
        <s v="Kwara → Kaduna"/>
        <s v="Anambra → Delta"/>
        <s v="Oyo → Ogun"/>
        <s v="Niger → Plateau"/>
        <s v="Rivers → Niger"/>
        <s v="Anambra → Cross River"/>
        <s v="Abia → Plateau"/>
        <s v="Abia → Lagos"/>
        <s v="Kaduna → Cross River"/>
        <s v="Ogun → Lagos"/>
        <s v="Rivers → Kano"/>
      </sharedItems>
    </cacheField>
    <cacheField name="Priority" numFmtId="0">
      <sharedItems count="3">
        <s v="High"/>
        <s v="Standard"/>
        <s v="Critical"/>
      </sharedItems>
    </cacheField>
    <cacheField name="Units_Shipped" numFmtId="0">
      <sharedItems containsSemiMixedTypes="0" containsString="0" containsNumber="1" containsInteger="1" minValue="6" maxValue="159"/>
    </cacheField>
    <cacheField name="Units_Received" numFmtId="0">
      <sharedItems containsSemiMixedTypes="0" containsString="0" containsNumber="1" containsInteger="1" minValue="6" maxValue="157"/>
    </cacheField>
    <cacheField name="Units_Damaged" numFmtId="0">
      <sharedItems containsSemiMixedTypes="0" containsString="0" containsNumber="1" containsInteger="1" minValue="0" maxValue="7"/>
    </cacheField>
    <cacheField name="Distance_km" numFmtId="0">
      <sharedItems containsSemiMixedTypes="0" containsString="0" containsNumber="1" containsInteger="1" minValue="25" maxValue="848" count="239">
        <n v="639"/>
        <n v="185"/>
        <n v="591"/>
        <n v="391"/>
        <n v="796"/>
        <n v="77"/>
        <n v="672"/>
        <n v="72"/>
        <n v="242"/>
        <n v="60"/>
        <n v="580"/>
        <n v="383"/>
        <n v="521"/>
        <n v="427"/>
        <n v="634"/>
        <n v="172"/>
        <n v="635"/>
        <n v="428"/>
        <n v="177"/>
        <n v="159"/>
        <n v="633"/>
        <n v="769"/>
        <n v="152"/>
        <n v="501"/>
        <n v="678"/>
        <n v="329"/>
        <n v="374"/>
        <n v="417"/>
        <n v="814"/>
        <n v="786"/>
        <n v="715"/>
        <n v="751"/>
        <n v="481"/>
        <n v="719"/>
        <n v="742"/>
        <n v="168"/>
        <n v="819"/>
        <n v="828"/>
        <n v="385"/>
        <n v="839"/>
        <n v="283"/>
        <n v="202"/>
        <n v="277"/>
        <n v="170"/>
        <n v="542"/>
        <n v="25"/>
        <n v="758"/>
        <n v="330"/>
        <n v="162"/>
        <n v="135"/>
        <n v="813"/>
        <n v="97"/>
        <n v="663"/>
        <n v="647"/>
        <n v="561"/>
        <n v="393"/>
        <n v="734"/>
        <n v="346"/>
        <n v="142"/>
        <n v="714"/>
        <n v="605"/>
        <n v="803"/>
        <n v="319"/>
        <n v="222"/>
        <n v="435"/>
        <n v="240"/>
        <n v="35"/>
        <n v="348"/>
        <n v="646"/>
        <n v="690"/>
        <n v="366"/>
        <n v="42"/>
        <n v="79"/>
        <n v="78"/>
        <n v="354"/>
        <n v="285"/>
        <n v="83"/>
        <n v="133"/>
        <n v="623"/>
        <n v="846"/>
        <n v="768"/>
        <n v="506"/>
        <n v="522"/>
        <n v="36"/>
        <n v="513"/>
        <n v="644"/>
        <n v="474"/>
        <n v="269"/>
        <n v="404"/>
        <n v="267"/>
        <n v="381"/>
        <n v="373"/>
        <n v="595"/>
        <n v="696"/>
        <n v="137"/>
        <n v="302"/>
        <n v="294"/>
        <n v="46"/>
        <n v="551"/>
        <n v="544"/>
        <n v="260"/>
        <n v="140"/>
        <n v="247"/>
        <n v="414"/>
        <n v="757"/>
        <n v="469"/>
        <n v="586"/>
        <n v="210"/>
        <n v="317"/>
        <n v="90"/>
        <n v="59"/>
        <n v="241"/>
        <n v="399"/>
        <n v="169"/>
        <n v="626"/>
        <n v="100"/>
        <n v="801"/>
        <n v="67"/>
        <n v="423"/>
        <n v="26"/>
        <n v="657"/>
        <n v="674"/>
        <n v="724"/>
        <n v="449"/>
        <n v="405"/>
        <n v="232"/>
        <n v="651"/>
        <n v="505"/>
        <n v="220"/>
        <n v="91"/>
        <n v="103"/>
        <n v="278"/>
        <n v="287"/>
        <n v="509"/>
        <n v="685"/>
        <n v="727"/>
        <n v="129"/>
        <n v="739"/>
        <n v="235"/>
        <n v="805"/>
        <n v="257"/>
        <n v="565"/>
        <n v="128"/>
        <n v="258"/>
        <n v="183"/>
        <n v="207"/>
        <n v="649"/>
        <n v="98"/>
        <n v="388"/>
        <n v="424"/>
        <n v="45"/>
        <n v="514"/>
        <n v="415"/>
        <n v="50"/>
        <n v="403"/>
        <n v="262"/>
        <n v="557"/>
        <n v="612"/>
        <n v="303"/>
        <n v="148"/>
        <n v="326"/>
        <n v="582"/>
        <n v="144"/>
        <n v="246"/>
        <n v="349"/>
        <n v="32"/>
        <n v="529"/>
        <n v="645"/>
        <n v="843"/>
        <n v="356"/>
        <n v="682"/>
        <n v="779"/>
        <n v="795"/>
        <n v="54"/>
        <n v="443"/>
        <n v="458"/>
        <n v="524"/>
        <n v="407"/>
        <n v="123"/>
        <n v="115"/>
        <n v="628"/>
        <n v="171"/>
        <n v="571"/>
        <n v="49"/>
        <n v="99"/>
        <n v="38"/>
        <n v="842"/>
        <n v="199"/>
        <n v="834"/>
        <n v="234"/>
        <n v="560"/>
        <n v="800"/>
        <n v="583"/>
        <n v="318"/>
        <n v="163"/>
        <n v="378"/>
        <n v="117"/>
        <n v="709"/>
        <n v="217"/>
        <n v="28"/>
        <n v="659"/>
        <n v="442"/>
        <n v="498"/>
        <n v="192"/>
        <n v="538"/>
        <n v="150"/>
        <n v="750"/>
        <n v="593"/>
        <n v="411"/>
        <n v="132"/>
        <n v="31"/>
        <n v="394"/>
        <n v="338"/>
        <n v="627"/>
        <n v="794"/>
        <n v="722"/>
        <n v="409"/>
        <n v="568"/>
        <n v="519"/>
        <n v="457"/>
        <n v="845"/>
        <n v="848"/>
        <n v="359"/>
        <n v="531"/>
        <n v="433"/>
        <n v="706"/>
        <n v="231"/>
        <n v="153"/>
        <n v="364"/>
        <n v="792"/>
        <n v="525"/>
        <n v="149"/>
        <n v="587"/>
        <n v="718"/>
        <n v="640"/>
        <n v="835"/>
        <n v="280"/>
        <n v="807"/>
        <n v="37"/>
      </sharedItems>
    </cacheField>
    <cacheField name="Distance Bands" numFmtId="0">
      <sharedItems/>
    </cacheField>
    <cacheField name="Distance Category" numFmtId="0">
      <sharedItems count="4">
        <s v="Very Long"/>
        <s v="Medium"/>
        <s v="Long"/>
        <s v="Short"/>
      </sharedItems>
    </cacheField>
    <cacheField name="Freight Cost per KM" numFmtId="1">
      <sharedItems containsSemiMixedTypes="0" containsString="0" containsNumber="1" minValue="227.24484181568087" maxValue="65356.307692307695"/>
    </cacheField>
    <cacheField name="Planned_Transit_Days" numFmtId="0">
      <sharedItems containsSemiMixedTypes="0" containsString="0" containsNumber="1" containsInteger="1" minValue="1" maxValue="7"/>
    </cacheField>
    <cacheField name="Actual_Transit_Days" numFmtId="0">
      <sharedItems containsSemiMixedTypes="0" containsString="0" containsNumber="1" containsInteger="1" minValue="1" maxValue="17"/>
    </cacheField>
    <cacheField name="Delay_Days" numFmtId="0">
      <sharedItems containsSemiMixedTypes="0" containsString="0" containsNumber="1" containsInteger="1" minValue="0" maxValue="10"/>
    </cacheField>
    <cacheField name="Freight_Cost_NGN" numFmtId="0">
      <sharedItems containsSemiMixedTypes="0" containsString="0" containsNumber="1" containsInteger="1" minValue="130698" maxValue="2374684"/>
    </cacheField>
    <cacheField name="Budgeted_Freight_NGN" numFmtId="0">
      <sharedItems containsSemiMixedTypes="0" containsString="0" containsNumber="1" containsInteger="1" minValue="138675" maxValue="2500149"/>
    </cacheField>
    <cacheField name="Delivery_Status" numFmtId="0">
      <sharedItems/>
    </cacheField>
    <cacheField name="On_Time_Flag" numFmtId="0">
      <sharedItems containsSemiMixedTypes="0" containsString="0" containsNumber="1" containsInteger="1" minValue="0" maxValue="1"/>
    </cacheField>
    <cacheField name="Damage_Rate" numFmtId="10">
      <sharedItems containsSemiMixedTypes="0" containsString="0" containsNumber="1" minValue="0" maxValue="6.25E-2"/>
    </cacheField>
    <cacheField name="Cost_Variance_NGN" numFmtId="0">
      <sharedItems containsSemiMixedTypes="0" containsString="0" containsNumber="1" containsInteger="1" minValue="-204276" maxValue="137699"/>
    </cacheField>
    <cacheField name="Cost_Variance_%" numFmtId="9">
      <sharedItems containsSemiMixedTypes="0" containsString="0" containsNumber="1" minValue="-0.1070970082389531" maxValue="8.4104450287920643E-2"/>
    </cacheField>
    <cacheField name="Days (Delivery_Date)" numFmtId="0" databaseField="0">
      <fieldGroup base="2">
        <rangePr groupBy="days" startDate="2026-01-10T00:00:00" endDate="2026-09-07T00:00:00"/>
        <groupItems count="368">
          <s v="&lt;10/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6"/>
        </groupItems>
      </fieldGroup>
    </cacheField>
    <cacheField name="Months (Delivery_Date)" numFmtId="0" databaseField="0">
      <fieldGroup base="2">
        <rangePr groupBy="months" startDate="2026-01-10T00:00:00" endDate="2026-09-07T00:00:00"/>
        <groupItems count="14">
          <s v="&lt;10/01/2026"/>
          <s v="Jan"/>
          <s v="Feb"/>
          <s v="Mar"/>
          <s v="Apr"/>
          <s v="May"/>
          <s v="Jun"/>
          <s v="Jul"/>
          <s v="Aug"/>
          <s v="Sep"/>
          <s v="Oct"/>
          <s v="Nov"/>
          <s v="Dec"/>
          <s v="&gt;07/09/2026"/>
        </groupItems>
      </fieldGroup>
    </cacheField>
  </cacheFields>
  <extLst>
    <ext xmlns:x14="http://schemas.microsoft.com/office/spreadsheetml/2009/9/main" uri="{725AE2AE-9491-48be-B2B4-4EB974FC3084}">
      <x14:pivotCacheDefinition pivotCacheId="588619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LG-0001"/>
    <d v="2026-04-07T00:00:00"/>
    <x v="0"/>
    <x v="0"/>
    <x v="0"/>
    <x v="0"/>
    <s v="Kaduna"/>
    <s v="Kaduna"/>
    <s v="Ilorin"/>
    <s v="Kwara"/>
    <x v="0"/>
    <x v="0"/>
    <n v="25"/>
    <n v="24"/>
    <n v="1"/>
    <x v="0"/>
    <s v="501–1,000 km"/>
    <x v="0"/>
    <n v="785.16588419405321"/>
    <n v="2"/>
    <n v="5"/>
    <n v="3"/>
    <n v="501721"/>
    <n v="467411"/>
    <s v="Minor Delay"/>
    <n v="0"/>
    <n v="0.04"/>
    <n v="34310"/>
    <n v="7.3404348635355179E-2"/>
  </r>
  <r>
    <s v="LG-0002"/>
    <d v="2026-04-08T00:00:00"/>
    <x v="1"/>
    <x v="1"/>
    <x v="1"/>
    <x v="1"/>
    <s v="Kano"/>
    <s v="Kano"/>
    <s v="Awka"/>
    <s v="Anambra"/>
    <x v="1"/>
    <x v="1"/>
    <n v="25"/>
    <n v="24"/>
    <n v="1"/>
    <x v="1"/>
    <s v="101–250 km"/>
    <x v="1"/>
    <n v="1686.6486486486488"/>
    <n v="2"/>
    <n v="2"/>
    <n v="0"/>
    <n v="312030"/>
    <n v="319815"/>
    <s v="On Time"/>
    <n v="0"/>
    <n v="0.04"/>
    <n v="-7785"/>
    <n v="-2.4342197833122275E-2"/>
  </r>
  <r>
    <s v="LG-0003"/>
    <d v="2026-04-09T00:00:00"/>
    <x v="2"/>
    <x v="2"/>
    <x v="2"/>
    <x v="2"/>
    <s v="Calabar"/>
    <s v="Cross River"/>
    <s v="Minna"/>
    <s v="Niger"/>
    <x v="2"/>
    <x v="1"/>
    <n v="55"/>
    <n v="54"/>
    <n v="1"/>
    <x v="2"/>
    <s v="501–1,000 km"/>
    <x v="0"/>
    <n v="1005.6920473773266"/>
    <n v="7"/>
    <n v="7"/>
    <n v="0"/>
    <n v="594364"/>
    <n v="602300"/>
    <s v="On Time"/>
    <n v="0"/>
    <n v="1.8181818181818181E-2"/>
    <n v="-7936"/>
    <n v="-1.317615806076706E-2"/>
  </r>
  <r>
    <s v="LG-0004"/>
    <d v="2026-04-10T00:00:00"/>
    <x v="3"/>
    <x v="0"/>
    <x v="3"/>
    <x v="3"/>
    <s v="Awka"/>
    <s v="Anambra"/>
    <s v="Port Harcourt"/>
    <s v="Rivers"/>
    <x v="3"/>
    <x v="1"/>
    <n v="96"/>
    <n v="93"/>
    <n v="3"/>
    <x v="3"/>
    <s v="251–500 km"/>
    <x v="2"/>
    <n v="3424.83631713555"/>
    <n v="1"/>
    <n v="1"/>
    <n v="0"/>
    <n v="1339111"/>
    <n v="1364601"/>
    <s v="On Time"/>
    <n v="1"/>
    <n v="3.125E-2"/>
    <n v="-25490"/>
    <n v="-1.8679452821740567E-2"/>
  </r>
  <r>
    <s v="LG-0005"/>
    <d v="2026-04-11T00:00:00"/>
    <x v="4"/>
    <x v="0"/>
    <x v="4"/>
    <x v="3"/>
    <s v="Abeokuta"/>
    <s v="Ogun"/>
    <s v="Kano"/>
    <s v="Kano"/>
    <x v="4"/>
    <x v="2"/>
    <n v="110"/>
    <n v="110"/>
    <n v="0"/>
    <x v="4"/>
    <s v="501–1,000 km"/>
    <x v="0"/>
    <n v="2065.8668341708544"/>
    <n v="3"/>
    <n v="4"/>
    <n v="1"/>
    <n v="1644430"/>
    <n v="1789891"/>
    <s v="Minor Delay"/>
    <n v="0"/>
    <n v="0"/>
    <n v="-145461"/>
    <n v="-8.1268077218109927E-2"/>
  </r>
  <r>
    <s v="LG-0006"/>
    <d v="2026-04-12T00:00:00"/>
    <x v="5"/>
    <x v="3"/>
    <x v="3"/>
    <x v="4"/>
    <s v="Jos"/>
    <s v="Plateau"/>
    <s v="Port Harcourt"/>
    <s v="Rivers"/>
    <x v="5"/>
    <x v="1"/>
    <n v="115"/>
    <n v="115"/>
    <n v="0"/>
    <x v="5"/>
    <s v="0–100 km"/>
    <x v="3"/>
    <n v="14578.545454545454"/>
    <n v="6"/>
    <n v="8"/>
    <n v="2"/>
    <n v="1122548"/>
    <n v="1249453"/>
    <s v="Minor Delay"/>
    <n v="1"/>
    <n v="0"/>
    <n v="-126905"/>
    <n v="-0.10156844635212368"/>
  </r>
  <r>
    <s v="LG-0007"/>
    <d v="2026-04-13T00:00:00"/>
    <x v="6"/>
    <x v="3"/>
    <x v="5"/>
    <x v="0"/>
    <s v="Calabar"/>
    <s v="Cross River"/>
    <s v="Umuahia"/>
    <s v="Abia"/>
    <x v="6"/>
    <x v="0"/>
    <n v="133"/>
    <n v="129"/>
    <n v="4"/>
    <x v="6"/>
    <s v="501–1,000 km"/>
    <x v="0"/>
    <n v="3019.84375"/>
    <n v="1"/>
    <n v="1"/>
    <n v="0"/>
    <n v="2029335"/>
    <n v="2197957"/>
    <s v="On Time"/>
    <n v="1"/>
    <n v="3.007518796992481E-2"/>
    <n v="-168622"/>
    <n v="-7.6717606395393545E-2"/>
  </r>
  <r>
    <s v="LG-0008"/>
    <d v="2026-04-14T00:00:00"/>
    <x v="7"/>
    <x v="0"/>
    <x v="1"/>
    <x v="1"/>
    <s v="Jos"/>
    <s v="Plateau"/>
    <s v="Awka"/>
    <s v="Anambra"/>
    <x v="7"/>
    <x v="0"/>
    <n v="37"/>
    <n v="36"/>
    <n v="1"/>
    <x v="7"/>
    <s v="0–100 km"/>
    <x v="3"/>
    <n v="3784.5833333333335"/>
    <n v="6"/>
    <n v="6"/>
    <n v="0"/>
    <n v="272490"/>
    <n v="268412"/>
    <s v="On Time"/>
    <n v="0"/>
    <n v="2.7027027027027029E-2"/>
    <n v="4078"/>
    <n v="1.5193061413051578E-2"/>
  </r>
  <r>
    <s v="LG-0009"/>
    <d v="2026-04-15T00:00:00"/>
    <x v="8"/>
    <x v="1"/>
    <x v="2"/>
    <x v="4"/>
    <s v="Lagos"/>
    <s v="Lagos"/>
    <s v="Ibadan"/>
    <s v="Oyo"/>
    <x v="8"/>
    <x v="1"/>
    <n v="9"/>
    <n v="9"/>
    <n v="0"/>
    <x v="8"/>
    <s v="101–250 km"/>
    <x v="1"/>
    <n v="590.02479338842977"/>
    <n v="7"/>
    <n v="11"/>
    <n v="4"/>
    <n v="142786"/>
    <n v="138675"/>
    <s v="Delayed"/>
    <n v="0"/>
    <n v="0"/>
    <n v="4111"/>
    <n v="2.9644853073733549E-2"/>
  </r>
  <r>
    <s v="LG-0010"/>
    <d v="2026-04-16T00:00:00"/>
    <x v="9"/>
    <x v="4"/>
    <x v="5"/>
    <x v="0"/>
    <s v="Ilorin"/>
    <s v="Kwara"/>
    <s v="Port Harcourt"/>
    <s v="Rivers"/>
    <x v="9"/>
    <x v="0"/>
    <n v="33"/>
    <n v="33"/>
    <n v="0"/>
    <x v="9"/>
    <s v="0–100 km"/>
    <x v="3"/>
    <n v="6451.4"/>
    <n v="3"/>
    <n v="3"/>
    <n v="0"/>
    <n v="387084"/>
    <n v="402479"/>
    <s v="On Time"/>
    <n v="0"/>
    <n v="0"/>
    <n v="-15395"/>
    <n v="-3.8250442880249653E-2"/>
  </r>
  <r>
    <s v="LG-0011"/>
    <d v="2026-04-17T00:00:00"/>
    <x v="10"/>
    <x v="0"/>
    <x v="3"/>
    <x v="2"/>
    <s v="Umuahia"/>
    <s v="Abia"/>
    <s v="Port Harcourt"/>
    <s v="Rivers"/>
    <x v="10"/>
    <x v="1"/>
    <n v="112"/>
    <n v="111"/>
    <n v="1"/>
    <x v="10"/>
    <s v="501–1,000 km"/>
    <x v="0"/>
    <n v="3149.0689655172414"/>
    <n v="2"/>
    <n v="2"/>
    <n v="0"/>
    <n v="1826460"/>
    <n v="2002998"/>
    <s v="On Time"/>
    <n v="0"/>
    <n v="8.9285714285714281E-3"/>
    <n v="-176538"/>
    <n v="-8.8136882812663811E-2"/>
  </r>
  <r>
    <s v="LG-0012"/>
    <d v="2026-04-18T00:00:00"/>
    <x v="11"/>
    <x v="5"/>
    <x v="5"/>
    <x v="3"/>
    <s v="Jos"/>
    <s v="Plateau"/>
    <s v="Enugu"/>
    <s v="Enugu"/>
    <x v="11"/>
    <x v="1"/>
    <n v="7"/>
    <n v="7"/>
    <n v="0"/>
    <x v="11"/>
    <s v="251–500 km"/>
    <x v="2"/>
    <n v="804.92689295039168"/>
    <n v="1"/>
    <n v="1"/>
    <n v="0"/>
    <n v="308287"/>
    <n v="309360"/>
    <s v="On Time"/>
    <n v="0"/>
    <n v="0"/>
    <n v="-1073"/>
    <n v="-3.4684509956038273E-3"/>
  </r>
  <r>
    <s v="LG-0013"/>
    <d v="2026-04-19T00:00:00"/>
    <x v="12"/>
    <x v="1"/>
    <x v="1"/>
    <x v="2"/>
    <s v="Kano"/>
    <s v="Kano"/>
    <s v="Calabar"/>
    <s v="Cross River"/>
    <x v="12"/>
    <x v="1"/>
    <n v="117"/>
    <n v="113"/>
    <n v="4"/>
    <x v="12"/>
    <s v="501–1,000 km"/>
    <x v="0"/>
    <n v="2690.3378119001918"/>
    <n v="3"/>
    <n v="4"/>
    <n v="1"/>
    <n v="1401666"/>
    <n v="1358740"/>
    <s v="Minor Delay"/>
    <n v="1"/>
    <n v="3.4188034188034191E-2"/>
    <n v="42926"/>
    <n v="3.1592504820642651E-2"/>
  </r>
  <r>
    <s v="LG-0014"/>
    <d v="2026-04-20T00:00:00"/>
    <x v="13"/>
    <x v="4"/>
    <x v="4"/>
    <x v="1"/>
    <s v="Abeokuta"/>
    <s v="Ogun"/>
    <s v="Awka"/>
    <s v="Anambra"/>
    <x v="13"/>
    <x v="2"/>
    <n v="133"/>
    <n v="129"/>
    <n v="4"/>
    <x v="13"/>
    <s v="251–500 km"/>
    <x v="2"/>
    <n v="3238.5737704918033"/>
    <n v="1"/>
    <n v="1"/>
    <n v="0"/>
    <n v="1382871"/>
    <n v="1407611"/>
    <s v="On Time"/>
    <n v="1"/>
    <n v="3.007518796992481E-2"/>
    <n v="-24740"/>
    <n v="-1.7575878563040499E-2"/>
  </r>
  <r>
    <s v="LG-0015"/>
    <d v="2026-04-21T00:00:00"/>
    <x v="14"/>
    <x v="3"/>
    <x v="1"/>
    <x v="3"/>
    <s v="Kano"/>
    <s v="Kano"/>
    <s v="Enugu"/>
    <s v="Enugu"/>
    <x v="14"/>
    <x v="1"/>
    <n v="120"/>
    <n v="119"/>
    <n v="1"/>
    <x v="14"/>
    <s v="501–1,000 km"/>
    <x v="0"/>
    <n v="1433.0220820189274"/>
    <n v="5"/>
    <n v="5"/>
    <n v="0"/>
    <n v="908536"/>
    <n v="984204"/>
    <s v="On Time"/>
    <n v="0"/>
    <n v="8.3333333333333332E-3"/>
    <n v="-75668"/>
    <n v="-7.6882434942349351E-2"/>
  </r>
  <r>
    <s v="LG-0016"/>
    <d v="2026-04-22T00:00:00"/>
    <x v="15"/>
    <x v="2"/>
    <x v="6"/>
    <x v="2"/>
    <s v="Awka"/>
    <s v="Anambra"/>
    <s v="Enugu"/>
    <s v="Enugu"/>
    <x v="15"/>
    <x v="0"/>
    <n v="151"/>
    <n v="148"/>
    <n v="3"/>
    <x v="15"/>
    <s v="101–250 km"/>
    <x v="1"/>
    <n v="6854.1686046511632"/>
    <n v="1"/>
    <n v="2"/>
    <n v="1"/>
    <n v="1178917"/>
    <n v="1125716"/>
    <s v="Minor Delay"/>
    <n v="0"/>
    <n v="1.9867549668874173E-2"/>
    <n v="53201"/>
    <n v="4.7259699604518368E-2"/>
  </r>
  <r>
    <s v="LG-0017"/>
    <d v="2026-04-23T00:00:00"/>
    <x v="16"/>
    <x v="1"/>
    <x v="6"/>
    <x v="3"/>
    <s v="Enugu"/>
    <s v="Enugu"/>
    <s v="Awka"/>
    <s v="Anambra"/>
    <x v="16"/>
    <x v="1"/>
    <n v="46"/>
    <n v="45"/>
    <n v="1"/>
    <x v="16"/>
    <s v="501–1,000 km"/>
    <x v="0"/>
    <n v="745.96377952755904"/>
    <n v="2"/>
    <n v="7"/>
    <n v="5"/>
    <n v="473687"/>
    <n v="452366"/>
    <s v="Delayed"/>
    <n v="0"/>
    <n v="2.1739130434782608E-2"/>
    <n v="21321"/>
    <n v="4.7132189421839839E-2"/>
  </r>
  <r>
    <s v="LG-0018"/>
    <d v="2026-04-24T00:00:00"/>
    <x v="17"/>
    <x v="5"/>
    <x v="3"/>
    <x v="3"/>
    <s v="Benin City"/>
    <s v="Edo"/>
    <s v="Enugu"/>
    <s v="Enugu"/>
    <x v="17"/>
    <x v="1"/>
    <n v="135"/>
    <n v="132"/>
    <n v="3"/>
    <x v="17"/>
    <s v="251–500 km"/>
    <x v="2"/>
    <n v="3607.9649532710282"/>
    <n v="3"/>
    <n v="5"/>
    <n v="2"/>
    <n v="1544209"/>
    <n v="1661530"/>
    <s v="Minor Delay"/>
    <n v="1"/>
    <n v="2.2222222222222223E-2"/>
    <n v="-117321"/>
    <n v="-7.0610220700198012E-2"/>
  </r>
  <r>
    <s v="LG-0019"/>
    <d v="2026-04-25T00:00:00"/>
    <x v="18"/>
    <x v="4"/>
    <x v="3"/>
    <x v="3"/>
    <s v="Asaba"/>
    <s v="Delta"/>
    <s v="Kano"/>
    <s v="Kano"/>
    <x v="18"/>
    <x v="2"/>
    <n v="103"/>
    <n v="103"/>
    <n v="0"/>
    <x v="18"/>
    <s v="101–250 km"/>
    <x v="1"/>
    <n v="4874.7118644067796"/>
    <n v="4"/>
    <n v="4"/>
    <n v="0"/>
    <n v="862824"/>
    <n v="846493"/>
    <s v="On Time"/>
    <n v="1"/>
    <n v="0"/>
    <n v="16331"/>
    <n v="1.9292539926496734E-2"/>
  </r>
  <r>
    <s v="LG-0020"/>
    <d v="2026-04-26T00:00:00"/>
    <x v="19"/>
    <x v="5"/>
    <x v="1"/>
    <x v="4"/>
    <s v="Lagos"/>
    <s v="Lagos"/>
    <s v="Port Harcourt"/>
    <s v="Rivers"/>
    <x v="19"/>
    <x v="1"/>
    <n v="140"/>
    <n v="139"/>
    <n v="1"/>
    <x v="19"/>
    <s v="101–250 km"/>
    <x v="1"/>
    <n v="5584.7169811320755"/>
    <n v="2"/>
    <n v="2"/>
    <n v="0"/>
    <n v="887970"/>
    <n v="871642"/>
    <s v="On Time"/>
    <n v="1"/>
    <n v="7.1428571428571426E-3"/>
    <n v="16328"/>
    <n v="1.8732461262766134E-2"/>
  </r>
  <r>
    <s v="LG-0021"/>
    <d v="2026-04-27T00:00:00"/>
    <x v="20"/>
    <x v="1"/>
    <x v="6"/>
    <x v="2"/>
    <s v="Ibadan"/>
    <s v="Oyo"/>
    <s v="Asaba"/>
    <s v="Delta"/>
    <x v="20"/>
    <x v="1"/>
    <n v="34"/>
    <n v="33"/>
    <n v="1"/>
    <x v="20"/>
    <s v="501–1,000 km"/>
    <x v="0"/>
    <n v="1215.8751974723539"/>
    <n v="4"/>
    <n v="7"/>
    <n v="3"/>
    <n v="769649"/>
    <n v="841098"/>
    <s v="Minor Delay"/>
    <n v="1"/>
    <n v="2.9411764705882353E-2"/>
    <n v="-71449"/>
    <n v="-8.4947295083331556E-2"/>
  </r>
  <r>
    <s v="LG-0022"/>
    <d v="2026-04-28T00:00:00"/>
    <x v="21"/>
    <x v="5"/>
    <x v="2"/>
    <x v="2"/>
    <s v="Awka"/>
    <s v="Anambra"/>
    <s v="Port Harcourt"/>
    <s v="Rivers"/>
    <x v="3"/>
    <x v="1"/>
    <n v="128"/>
    <n v="128"/>
    <n v="0"/>
    <x v="21"/>
    <s v="501–1,000 km"/>
    <x v="0"/>
    <n v="1354.4616384915475"/>
    <n v="3"/>
    <n v="7"/>
    <n v="4"/>
    <n v="1041581"/>
    <n v="1027155"/>
    <s v="Delayed"/>
    <n v="0"/>
    <n v="0"/>
    <n v="14426"/>
    <n v="1.4044618387682482E-2"/>
  </r>
  <r>
    <s v="LG-0023"/>
    <d v="2026-04-29T00:00:00"/>
    <x v="22"/>
    <x v="5"/>
    <x v="5"/>
    <x v="0"/>
    <s v="Ilorin"/>
    <s v="Kwara"/>
    <s v="Calabar"/>
    <s v="Cross River"/>
    <x v="21"/>
    <x v="1"/>
    <n v="71"/>
    <n v="69"/>
    <n v="2"/>
    <x v="22"/>
    <s v="101–250 km"/>
    <x v="1"/>
    <n v="3322.2368421052633"/>
    <n v="2"/>
    <n v="2"/>
    <n v="0"/>
    <n v="504980"/>
    <n v="549843"/>
    <s v="On Time"/>
    <n v="0"/>
    <n v="2.8169014084507043E-2"/>
    <n v="-44863"/>
    <n v="-8.1592381825357427E-2"/>
  </r>
  <r>
    <s v="LG-0024"/>
    <d v="2026-04-30T00:00:00"/>
    <x v="23"/>
    <x v="3"/>
    <x v="2"/>
    <x v="0"/>
    <s v="Minna"/>
    <s v="Niger"/>
    <s v="Lagos"/>
    <s v="Lagos"/>
    <x v="22"/>
    <x v="1"/>
    <n v="43"/>
    <n v="43"/>
    <n v="0"/>
    <x v="23"/>
    <s v="501–1,000 km"/>
    <x v="0"/>
    <n v="1280.1177644710579"/>
    <n v="5"/>
    <n v="7"/>
    <n v="2"/>
    <n v="641339"/>
    <n v="643876"/>
    <s v="Minor Delay"/>
    <n v="1"/>
    <n v="0"/>
    <n v="-2537"/>
    <n v="-3.9401996657741556E-3"/>
  </r>
  <r>
    <s v="LG-0025"/>
    <d v="2026-05-01T00:00:00"/>
    <x v="24"/>
    <x v="0"/>
    <x v="1"/>
    <x v="2"/>
    <s v="Kaduna"/>
    <s v="Kaduna"/>
    <s v="Jos"/>
    <s v="Plateau"/>
    <x v="23"/>
    <x v="1"/>
    <n v="148"/>
    <n v="147"/>
    <n v="1"/>
    <x v="24"/>
    <s v="501–1,000 km"/>
    <x v="0"/>
    <n v="3502.4837758112094"/>
    <n v="5"/>
    <n v="6"/>
    <n v="1"/>
    <n v="2374684"/>
    <n v="2345235"/>
    <s v="Minor Delay"/>
    <n v="1"/>
    <n v="6.7567567567567571E-3"/>
    <n v="29449"/>
    <n v="1.2556950582777419E-2"/>
  </r>
  <r>
    <s v="LG-0026"/>
    <d v="2026-05-02T00:00:00"/>
    <x v="25"/>
    <x v="4"/>
    <x v="0"/>
    <x v="2"/>
    <s v="Minna"/>
    <s v="Niger"/>
    <s v="Calabar"/>
    <s v="Cross River"/>
    <x v="24"/>
    <x v="1"/>
    <n v="90"/>
    <n v="89"/>
    <n v="1"/>
    <x v="25"/>
    <s v="251–500 km"/>
    <x v="2"/>
    <n v="4260.1246200607902"/>
    <n v="3"/>
    <n v="4"/>
    <n v="1"/>
    <n v="1401581"/>
    <n v="1520042"/>
    <s v="Minor Delay"/>
    <n v="0"/>
    <n v="1.1111111111111112E-2"/>
    <n v="-118461"/>
    <n v="-7.7932715017085055E-2"/>
  </r>
  <r>
    <s v="LG-0027"/>
    <d v="2026-05-03T00:00:00"/>
    <x v="12"/>
    <x v="5"/>
    <x v="2"/>
    <x v="0"/>
    <s v="Kano"/>
    <s v="Kano"/>
    <s v="Benin City"/>
    <s v="Edo"/>
    <x v="25"/>
    <x v="0"/>
    <n v="10"/>
    <n v="10"/>
    <n v="0"/>
    <x v="26"/>
    <s v="251–500 km"/>
    <x v="2"/>
    <n v="735.06951871657759"/>
    <n v="2"/>
    <n v="3"/>
    <n v="1"/>
    <n v="274916"/>
    <n v="287970"/>
    <s v="Minor Delay"/>
    <n v="1"/>
    <n v="0"/>
    <n v="-13054"/>
    <n v="-4.5331110879605514E-2"/>
  </r>
  <r>
    <s v="LG-0028"/>
    <d v="2026-05-04T00:00:00"/>
    <x v="26"/>
    <x v="2"/>
    <x v="6"/>
    <x v="2"/>
    <s v="Kaduna"/>
    <s v="Kaduna"/>
    <s v="Minna"/>
    <s v="Niger"/>
    <x v="26"/>
    <x v="1"/>
    <n v="131"/>
    <n v="128"/>
    <n v="3"/>
    <x v="27"/>
    <s v="251–500 km"/>
    <x v="2"/>
    <n v="2298.2901678657076"/>
    <n v="2"/>
    <n v="2"/>
    <n v="0"/>
    <n v="958387"/>
    <n v="914932"/>
    <s v="On Time"/>
    <n v="0"/>
    <n v="2.2900763358778626E-2"/>
    <n v="43455"/>
    <n v="4.7495332986495171E-2"/>
  </r>
  <r>
    <s v="LG-0029"/>
    <d v="2026-05-05T00:00:00"/>
    <x v="27"/>
    <x v="3"/>
    <x v="7"/>
    <x v="3"/>
    <s v="Kano"/>
    <s v="Kano"/>
    <s v="Umuahia"/>
    <s v="Abia"/>
    <x v="27"/>
    <x v="1"/>
    <n v="73"/>
    <n v="73"/>
    <n v="0"/>
    <x v="28"/>
    <s v="501–1,000 km"/>
    <x v="0"/>
    <n v="1427.6855036855036"/>
    <n v="4"/>
    <n v="5"/>
    <n v="1"/>
    <n v="1162136"/>
    <n v="1080255"/>
    <s v="Minor Delay"/>
    <n v="0"/>
    <n v="0"/>
    <n v="81881"/>
    <n v="7.5797844027567562E-2"/>
  </r>
  <r>
    <s v="LG-0030"/>
    <d v="2026-05-06T00:00:00"/>
    <x v="28"/>
    <x v="0"/>
    <x v="7"/>
    <x v="4"/>
    <s v="Benin City"/>
    <s v="Edo"/>
    <s v="Calabar"/>
    <s v="Cross River"/>
    <x v="28"/>
    <x v="1"/>
    <n v="148"/>
    <n v="145"/>
    <n v="3"/>
    <x v="8"/>
    <s v="101–250 km"/>
    <x v="1"/>
    <n v="7379.8264462809921"/>
    <n v="6"/>
    <n v="8"/>
    <n v="2"/>
    <n v="1785918"/>
    <n v="1931260"/>
    <s v="Minor Delay"/>
    <n v="1"/>
    <n v="2.0270270270270271E-2"/>
    <n v="-145342"/>
    <n v="-7.5257603844122486E-2"/>
  </r>
  <r>
    <s v="LG-0031"/>
    <d v="2026-05-07T00:00:00"/>
    <x v="29"/>
    <x v="2"/>
    <x v="3"/>
    <x v="3"/>
    <s v="Kaduna"/>
    <s v="Kaduna"/>
    <s v="Minna"/>
    <s v="Niger"/>
    <x v="26"/>
    <x v="1"/>
    <n v="142"/>
    <n v="141"/>
    <n v="1"/>
    <x v="29"/>
    <s v="501–1,000 km"/>
    <x v="0"/>
    <n v="1507.6437659033079"/>
    <n v="7"/>
    <n v="11"/>
    <n v="4"/>
    <n v="1185008"/>
    <n v="1293196"/>
    <s v="Delayed"/>
    <n v="1"/>
    <n v="7.0422535211267607E-3"/>
    <n v="-108188"/>
    <n v="-8.3659398884623828E-2"/>
  </r>
  <r>
    <s v="LG-0032"/>
    <d v="2026-05-08T00:00:00"/>
    <x v="30"/>
    <x v="2"/>
    <x v="1"/>
    <x v="3"/>
    <s v="Enugu"/>
    <s v="Enugu"/>
    <s v="Ilorin"/>
    <s v="Kwara"/>
    <x v="29"/>
    <x v="2"/>
    <n v="37"/>
    <n v="36"/>
    <n v="1"/>
    <x v="30"/>
    <s v="501–1,000 km"/>
    <x v="0"/>
    <n v="946.48811188811192"/>
    <n v="4"/>
    <n v="5"/>
    <n v="1"/>
    <n v="676739"/>
    <n v="674858"/>
    <s v="Minor Delay"/>
    <n v="0"/>
    <n v="2.7027027027027029E-2"/>
    <n v="1881"/>
    <n v="2.7872530221172455E-3"/>
  </r>
  <r>
    <s v="LG-0033"/>
    <d v="2026-05-09T00:00:00"/>
    <x v="0"/>
    <x v="3"/>
    <x v="1"/>
    <x v="4"/>
    <s v="Umuahia"/>
    <s v="Abia"/>
    <s v="Awka"/>
    <s v="Anambra"/>
    <x v="30"/>
    <x v="0"/>
    <n v="39"/>
    <n v="39"/>
    <n v="0"/>
    <x v="31"/>
    <s v="501–1,000 km"/>
    <x v="0"/>
    <n v="941.3515312916112"/>
    <n v="3"/>
    <n v="3"/>
    <n v="0"/>
    <n v="706955"/>
    <n v="769856"/>
    <s v="On Time"/>
    <n v="1"/>
    <n v="0"/>
    <n v="-62901"/>
    <n v="-8.1704890265192454E-2"/>
  </r>
  <r>
    <s v="LG-0034"/>
    <d v="2026-05-10T00:00:00"/>
    <x v="31"/>
    <x v="4"/>
    <x v="5"/>
    <x v="2"/>
    <s v="Kano"/>
    <s v="Kano"/>
    <s v="Ilorin"/>
    <s v="Kwara"/>
    <x v="31"/>
    <x v="0"/>
    <n v="142"/>
    <n v="140"/>
    <n v="2"/>
    <x v="32"/>
    <s v="251–500 km"/>
    <x v="2"/>
    <n v="2545.3950103950106"/>
    <n v="5"/>
    <n v="5"/>
    <n v="0"/>
    <n v="1224335"/>
    <n v="1267413"/>
    <s v="On Time"/>
    <n v="0"/>
    <n v="1.4084507042253521E-2"/>
    <n v="-43078"/>
    <n v="-3.3988920738543787E-2"/>
  </r>
  <r>
    <s v="LG-0035"/>
    <d v="2026-05-11T00:00:00"/>
    <x v="32"/>
    <x v="5"/>
    <x v="1"/>
    <x v="2"/>
    <s v="Kaduna"/>
    <s v="Kaduna"/>
    <s v="Kano"/>
    <s v="Kano"/>
    <x v="32"/>
    <x v="1"/>
    <n v="117"/>
    <n v="113"/>
    <n v="4"/>
    <x v="33"/>
    <s v="501–1,000 km"/>
    <x v="0"/>
    <n v="2078.6926286509042"/>
    <n v="6"/>
    <n v="10"/>
    <n v="4"/>
    <n v="1494580"/>
    <n v="1600558"/>
    <s v="Delayed"/>
    <n v="0"/>
    <n v="3.4188034188034191E-2"/>
    <n v="-105978"/>
    <n v="-6.6213158161091315E-2"/>
  </r>
  <r>
    <s v="LG-0036"/>
    <d v="2026-05-12T00:00:00"/>
    <x v="33"/>
    <x v="3"/>
    <x v="0"/>
    <x v="1"/>
    <s v="Ilorin"/>
    <s v="Kwara"/>
    <s v="Awka"/>
    <s v="Anambra"/>
    <x v="33"/>
    <x v="1"/>
    <n v="32"/>
    <n v="31"/>
    <n v="1"/>
    <x v="34"/>
    <s v="501–1,000 km"/>
    <x v="0"/>
    <n v="847.04851752021568"/>
    <n v="6"/>
    <n v="6"/>
    <n v="0"/>
    <n v="628510"/>
    <n v="638883"/>
    <s v="On Time"/>
    <n v="0"/>
    <n v="3.125E-2"/>
    <n v="-10373"/>
    <n v="-1.6236149654944645E-2"/>
  </r>
  <r>
    <s v="LG-0037"/>
    <d v="2026-05-13T00:00:00"/>
    <x v="34"/>
    <x v="1"/>
    <x v="5"/>
    <x v="0"/>
    <s v="Awka"/>
    <s v="Anambra"/>
    <s v="Jos"/>
    <s v="Plateau"/>
    <x v="34"/>
    <x v="2"/>
    <n v="155"/>
    <n v="148"/>
    <n v="7"/>
    <x v="35"/>
    <s v="101–250 km"/>
    <x v="1"/>
    <n v="5389.6071428571431"/>
    <n v="4"/>
    <n v="6"/>
    <n v="2"/>
    <n v="905454"/>
    <n v="1001600"/>
    <s v="Minor Delay"/>
    <n v="0"/>
    <n v="4.5161290322580643E-2"/>
    <n v="-96146"/>
    <n v="-9.5992412140575079E-2"/>
  </r>
  <r>
    <s v="LG-0038"/>
    <d v="2026-05-14T00:00:00"/>
    <x v="35"/>
    <x v="5"/>
    <x v="6"/>
    <x v="4"/>
    <s v="Awka"/>
    <s v="Anambra"/>
    <s v="Lagos"/>
    <s v="Lagos"/>
    <x v="35"/>
    <x v="1"/>
    <n v="141"/>
    <n v="138"/>
    <n v="3"/>
    <x v="36"/>
    <s v="501–1,000 km"/>
    <x v="0"/>
    <n v="1579.2893772893774"/>
    <n v="2"/>
    <n v="4"/>
    <n v="2"/>
    <n v="1293438"/>
    <n v="1211006"/>
    <s v="Minor Delay"/>
    <n v="0"/>
    <n v="2.1276595744680851E-2"/>
    <n v="82432"/>
    <n v="6.8069026908206889E-2"/>
  </r>
  <r>
    <s v="LG-0039"/>
    <d v="2026-05-15T00:00:00"/>
    <x v="36"/>
    <x v="2"/>
    <x v="1"/>
    <x v="1"/>
    <s v="Lagos"/>
    <s v="Lagos"/>
    <s v="Asaba"/>
    <s v="Delta"/>
    <x v="36"/>
    <x v="1"/>
    <n v="136"/>
    <n v="133"/>
    <n v="3"/>
    <x v="37"/>
    <s v="501–1,000 km"/>
    <x v="0"/>
    <n v="1656.0434782608695"/>
    <n v="7"/>
    <n v="17"/>
    <n v="10"/>
    <n v="1371204"/>
    <n v="1284406"/>
    <s v="Delayed"/>
    <n v="0"/>
    <n v="2.2058823529411766E-2"/>
    <n v="86798"/>
    <n v="6.7578320250761825E-2"/>
  </r>
  <r>
    <s v="LG-0040"/>
    <d v="2026-05-16T00:00:00"/>
    <x v="37"/>
    <x v="4"/>
    <x v="3"/>
    <x v="2"/>
    <s v="Umuahia"/>
    <s v="Abia"/>
    <s v="Abeokuta"/>
    <s v="Ogun"/>
    <x v="37"/>
    <x v="2"/>
    <n v="65"/>
    <n v="62"/>
    <n v="3"/>
    <x v="38"/>
    <s v="251–500 km"/>
    <x v="2"/>
    <n v="1814.3896103896104"/>
    <n v="4"/>
    <n v="6"/>
    <n v="2"/>
    <n v="698540"/>
    <n v="724158"/>
    <s v="Minor Delay"/>
    <n v="0"/>
    <n v="4.6153846153846156E-2"/>
    <n v="-25618"/>
    <n v="-3.5376257667525599E-2"/>
  </r>
  <r>
    <s v="LG-0041"/>
    <d v="2026-05-17T00:00:00"/>
    <x v="38"/>
    <x v="1"/>
    <x v="5"/>
    <x v="2"/>
    <s v="Kano"/>
    <s v="Kano"/>
    <s v="Lagos"/>
    <s v="Lagos"/>
    <x v="38"/>
    <x v="0"/>
    <n v="65"/>
    <n v="64"/>
    <n v="1"/>
    <x v="39"/>
    <s v="501–1,000 km"/>
    <x v="0"/>
    <n v="1195.0798569725864"/>
    <n v="3"/>
    <n v="6"/>
    <n v="3"/>
    <n v="1002672"/>
    <n v="1107881"/>
    <s v="Minor Delay"/>
    <n v="0"/>
    <n v="1.5384615384615385E-2"/>
    <n v="-105209"/>
    <n v="-9.4964170339594228E-2"/>
  </r>
  <r>
    <s v="LG-0042"/>
    <d v="2026-05-18T00:00:00"/>
    <x v="39"/>
    <x v="0"/>
    <x v="2"/>
    <x v="3"/>
    <s v="Lagos"/>
    <s v="Lagos"/>
    <s v="Port Harcourt"/>
    <s v="Rivers"/>
    <x v="19"/>
    <x v="2"/>
    <n v="122"/>
    <n v="119"/>
    <n v="3"/>
    <x v="40"/>
    <s v="251–500 km"/>
    <x v="2"/>
    <n v="3695.1802120141342"/>
    <n v="3"/>
    <n v="4"/>
    <n v="1"/>
    <n v="1045736"/>
    <n v="1153500"/>
    <s v="Minor Delay"/>
    <n v="0"/>
    <n v="2.4590163934426229E-2"/>
    <n v="-107764"/>
    <n v="-9.3423493714781106E-2"/>
  </r>
  <r>
    <s v="LG-0043"/>
    <d v="2026-05-19T00:00:00"/>
    <x v="40"/>
    <x v="1"/>
    <x v="3"/>
    <x v="4"/>
    <s v="Benin City"/>
    <s v="Edo"/>
    <s v="Kano"/>
    <s v="Kano"/>
    <x v="39"/>
    <x v="1"/>
    <n v="64"/>
    <n v="63"/>
    <n v="1"/>
    <x v="41"/>
    <s v="101–250 km"/>
    <x v="1"/>
    <n v="1965.5148514851485"/>
    <n v="2"/>
    <n v="2"/>
    <n v="0"/>
    <n v="397034"/>
    <n v="393885"/>
    <s v="On Time"/>
    <n v="1"/>
    <n v="1.5625E-2"/>
    <n v="3149"/>
    <n v="7.9947192708531671E-3"/>
  </r>
  <r>
    <s v="LG-0044"/>
    <d v="2026-05-20T00:00:00"/>
    <x v="41"/>
    <x v="2"/>
    <x v="5"/>
    <x v="0"/>
    <s v="Ilorin"/>
    <s v="Kwara"/>
    <s v="Umuahia"/>
    <s v="Abia"/>
    <x v="40"/>
    <x v="1"/>
    <n v="39"/>
    <n v="39"/>
    <n v="0"/>
    <x v="42"/>
    <s v="251–500 km"/>
    <x v="2"/>
    <n v="1957.9314079422384"/>
    <n v="3"/>
    <n v="3"/>
    <n v="0"/>
    <n v="542347"/>
    <n v="577677"/>
    <s v="On Time"/>
    <n v="0"/>
    <n v="0"/>
    <n v="-35330"/>
    <n v="-6.1158744419459316E-2"/>
  </r>
  <r>
    <s v="LG-0045"/>
    <d v="2026-05-21T00:00:00"/>
    <x v="42"/>
    <x v="5"/>
    <x v="3"/>
    <x v="4"/>
    <s v="Enugu"/>
    <s v="Enugu"/>
    <s v="Umuahia"/>
    <s v="Abia"/>
    <x v="41"/>
    <x v="2"/>
    <n v="69"/>
    <n v="69"/>
    <n v="0"/>
    <x v="43"/>
    <s v="101–250 km"/>
    <x v="1"/>
    <n v="5629.9705882352937"/>
    <n v="1"/>
    <n v="1"/>
    <n v="0"/>
    <n v="957095"/>
    <n v="909320"/>
    <s v="On Time"/>
    <n v="1"/>
    <n v="0"/>
    <n v="47775"/>
    <n v="5.2539260106453177E-2"/>
  </r>
  <r>
    <s v="LG-0046"/>
    <d v="2026-05-22T00:00:00"/>
    <x v="43"/>
    <x v="3"/>
    <x v="4"/>
    <x v="4"/>
    <s v="Lagos"/>
    <s v="Lagos"/>
    <s v="Abeokuta"/>
    <s v="Ogun"/>
    <x v="42"/>
    <x v="2"/>
    <n v="59"/>
    <n v="57"/>
    <n v="2"/>
    <x v="44"/>
    <s v="501–1,000 km"/>
    <x v="0"/>
    <n v="1053.5645756457563"/>
    <n v="3"/>
    <n v="3"/>
    <n v="0"/>
    <n v="571032"/>
    <n v="639523"/>
    <s v="On Time"/>
    <n v="1"/>
    <n v="3.3898305084745763E-2"/>
    <n v="-68491"/>
    <n v="-0.1070970082389531"/>
  </r>
  <r>
    <s v="LG-0047"/>
    <d v="2026-05-23T00:00:00"/>
    <x v="44"/>
    <x v="2"/>
    <x v="5"/>
    <x v="0"/>
    <s v="Benin City"/>
    <s v="Edo"/>
    <s v="Minna"/>
    <s v="Niger"/>
    <x v="43"/>
    <x v="1"/>
    <n v="114"/>
    <n v="111"/>
    <n v="3"/>
    <x v="45"/>
    <s v="0–100 km"/>
    <x v="3"/>
    <n v="42670.8"/>
    <n v="3"/>
    <n v="3"/>
    <n v="0"/>
    <n v="1066770"/>
    <n v="1025641"/>
    <s v="On Time"/>
    <n v="0"/>
    <n v="2.6315789473684209E-2"/>
    <n v="41129"/>
    <n v="4.0100776002519399E-2"/>
  </r>
  <r>
    <s v="LG-0048"/>
    <d v="2026-05-24T00:00:00"/>
    <x v="45"/>
    <x v="3"/>
    <x v="0"/>
    <x v="0"/>
    <s v="Asaba"/>
    <s v="Delta"/>
    <s v="Ibadan"/>
    <s v="Oyo"/>
    <x v="44"/>
    <x v="1"/>
    <n v="137"/>
    <n v="134"/>
    <n v="3"/>
    <x v="46"/>
    <s v="501–1,000 km"/>
    <x v="0"/>
    <n v="2153.3535620052771"/>
    <n v="3"/>
    <n v="6"/>
    <n v="3"/>
    <n v="1632242"/>
    <n v="1694252"/>
    <s v="Minor Delay"/>
    <n v="1"/>
    <n v="2.1897810218978103E-2"/>
    <n v="-62010"/>
    <n v="-3.6600222399029186E-2"/>
  </r>
  <r>
    <s v="LG-0049"/>
    <d v="2026-05-25T00:00:00"/>
    <x v="46"/>
    <x v="0"/>
    <x v="3"/>
    <x v="3"/>
    <s v="Enugu"/>
    <s v="Enugu"/>
    <s v="Ibadan"/>
    <s v="Oyo"/>
    <x v="45"/>
    <x v="1"/>
    <n v="42"/>
    <n v="41"/>
    <n v="1"/>
    <x v="47"/>
    <s v="251–500 km"/>
    <x v="2"/>
    <n v="1854.0363636363636"/>
    <n v="2"/>
    <n v="2"/>
    <n v="0"/>
    <n v="611832"/>
    <n v="610882"/>
    <s v="On Time"/>
    <n v="1"/>
    <n v="2.3809523809523808E-2"/>
    <n v="950"/>
    <n v="1.5551284863525197E-3"/>
  </r>
  <r>
    <s v="LG-0050"/>
    <d v="2026-05-26T00:00:00"/>
    <x v="47"/>
    <x v="3"/>
    <x v="5"/>
    <x v="4"/>
    <s v="Port Harcourt"/>
    <s v="Rivers"/>
    <s v="Kaduna"/>
    <s v="Kaduna"/>
    <x v="46"/>
    <x v="1"/>
    <n v="136"/>
    <n v="134"/>
    <n v="2"/>
    <x v="48"/>
    <s v="101–250 km"/>
    <x v="1"/>
    <n v="9639.3333333333339"/>
    <n v="6"/>
    <n v="13"/>
    <n v="7"/>
    <n v="1561572"/>
    <n v="1590341"/>
    <s v="Delayed"/>
    <n v="1"/>
    <n v="1.4705882352941176E-2"/>
    <n v="-28769"/>
    <n v="-1.8089831048812802E-2"/>
  </r>
  <r>
    <s v="LG-0051"/>
    <d v="2026-05-27T00:00:00"/>
    <x v="48"/>
    <x v="5"/>
    <x v="6"/>
    <x v="1"/>
    <s v="Abeokuta"/>
    <s v="Ogun"/>
    <s v="Umuahia"/>
    <s v="Abia"/>
    <x v="47"/>
    <x v="1"/>
    <n v="119"/>
    <n v="119"/>
    <n v="0"/>
    <x v="49"/>
    <s v="101–250 km"/>
    <x v="1"/>
    <n v="4936.5925925925922"/>
    <n v="4"/>
    <n v="4"/>
    <n v="0"/>
    <n v="666440"/>
    <n v="630191"/>
    <s v="On Time"/>
    <n v="1"/>
    <n v="0"/>
    <n v="36249"/>
    <n v="5.752065643590594E-2"/>
  </r>
  <r>
    <s v="LG-0052"/>
    <d v="2026-05-28T00:00:00"/>
    <x v="36"/>
    <x v="0"/>
    <x v="3"/>
    <x v="4"/>
    <s v="Enugu"/>
    <s v="Enugu"/>
    <s v="Umuahia"/>
    <s v="Abia"/>
    <x v="41"/>
    <x v="1"/>
    <n v="151"/>
    <n v="147"/>
    <n v="4"/>
    <x v="50"/>
    <s v="501–1,000 km"/>
    <x v="0"/>
    <n v="2028.4833948339483"/>
    <n v="2"/>
    <n v="2"/>
    <n v="0"/>
    <n v="1649157"/>
    <n v="1631880"/>
    <s v="On Time"/>
    <n v="0"/>
    <n v="2.6490066225165563E-2"/>
    <n v="17277"/>
    <n v="1.0587175527612324E-2"/>
  </r>
  <r>
    <s v="LG-0053"/>
    <d v="2026-05-29T00:00:00"/>
    <x v="49"/>
    <x v="3"/>
    <x v="3"/>
    <x v="0"/>
    <s v="Jos"/>
    <s v="Plateau"/>
    <s v="Awka"/>
    <s v="Anambra"/>
    <x v="7"/>
    <x v="1"/>
    <n v="49"/>
    <n v="48"/>
    <n v="1"/>
    <x v="51"/>
    <s v="0–100 km"/>
    <x v="3"/>
    <n v="6175.4536082474224"/>
    <n v="6"/>
    <n v="6"/>
    <n v="0"/>
    <n v="599019"/>
    <n v="608740"/>
    <s v="On Time"/>
    <n v="1"/>
    <n v="2.0408163265306121E-2"/>
    <n v="-9721"/>
    <n v="-1.5969050826296943E-2"/>
  </r>
  <r>
    <s v="LG-0054"/>
    <d v="2026-05-30T00:00:00"/>
    <x v="50"/>
    <x v="0"/>
    <x v="6"/>
    <x v="0"/>
    <s v="Ilorin"/>
    <s v="Kwara"/>
    <s v="Lagos"/>
    <s v="Lagos"/>
    <x v="48"/>
    <x v="0"/>
    <n v="51"/>
    <n v="49"/>
    <n v="2"/>
    <x v="52"/>
    <s v="501–1,000 km"/>
    <x v="0"/>
    <n v="713.38461538461536"/>
    <n v="5"/>
    <n v="5"/>
    <n v="0"/>
    <n v="472974"/>
    <n v="457471"/>
    <s v="On Time"/>
    <n v="1"/>
    <n v="3.9215686274509803E-2"/>
    <n v="15503"/>
    <n v="3.3888486920482394E-2"/>
  </r>
  <r>
    <s v="LG-0055"/>
    <d v="2026-05-31T00:00:00"/>
    <x v="51"/>
    <x v="3"/>
    <x v="2"/>
    <x v="0"/>
    <s v="Umuahia"/>
    <s v="Abia"/>
    <s v="Minna"/>
    <s v="Niger"/>
    <x v="49"/>
    <x v="1"/>
    <n v="7"/>
    <n v="7"/>
    <n v="0"/>
    <x v="53"/>
    <s v="501–1,000 km"/>
    <x v="0"/>
    <n v="445.61823802163832"/>
    <n v="2"/>
    <n v="2"/>
    <n v="0"/>
    <n v="288315"/>
    <n v="308474"/>
    <s v="On Time"/>
    <n v="1"/>
    <n v="0"/>
    <n v="-20159"/>
    <n v="-6.5350726479379131E-2"/>
  </r>
  <r>
    <s v="LG-0056"/>
    <d v="2026-06-01T00:00:00"/>
    <x v="52"/>
    <x v="5"/>
    <x v="3"/>
    <x v="4"/>
    <s v="Kaduna"/>
    <s v="Kaduna"/>
    <s v="Jos"/>
    <s v="Plateau"/>
    <x v="23"/>
    <x v="0"/>
    <n v="48"/>
    <n v="48"/>
    <n v="0"/>
    <x v="54"/>
    <s v="501–1,000 km"/>
    <x v="0"/>
    <n v="1085.0374331550802"/>
    <n v="2"/>
    <n v="2"/>
    <n v="0"/>
    <n v="608706"/>
    <n v="632274"/>
    <s v="On Time"/>
    <n v="1"/>
    <n v="0"/>
    <n v="-23568"/>
    <n v="-3.7274978885736249E-2"/>
  </r>
  <r>
    <s v="LG-0057"/>
    <d v="2026-06-02T00:00:00"/>
    <x v="53"/>
    <x v="5"/>
    <x v="6"/>
    <x v="1"/>
    <s v="Abeokuta"/>
    <s v="Ogun"/>
    <s v="Calabar"/>
    <s v="Cross River"/>
    <x v="50"/>
    <x v="1"/>
    <n v="12"/>
    <n v="12"/>
    <n v="0"/>
    <x v="55"/>
    <s v="251–500 km"/>
    <x v="2"/>
    <n v="579.81679389312978"/>
    <n v="4"/>
    <n v="5"/>
    <n v="1"/>
    <n v="227868"/>
    <n v="226900"/>
    <s v="Minor Delay"/>
    <n v="0"/>
    <n v="0"/>
    <n v="968"/>
    <n v="4.2661965623622738E-3"/>
  </r>
  <r>
    <s v="LG-0058"/>
    <d v="2026-06-03T00:00:00"/>
    <x v="54"/>
    <x v="0"/>
    <x v="7"/>
    <x v="2"/>
    <s v="Umuahia"/>
    <s v="Abia"/>
    <s v="Asaba"/>
    <s v="Delta"/>
    <x v="51"/>
    <x v="1"/>
    <n v="25"/>
    <n v="25"/>
    <n v="0"/>
    <x v="56"/>
    <s v="501–1,000 km"/>
    <x v="0"/>
    <n v="468.9359673024523"/>
    <n v="6"/>
    <n v="6"/>
    <n v="0"/>
    <n v="344199"/>
    <n v="327724"/>
    <s v="On Time"/>
    <n v="0"/>
    <n v="0"/>
    <n v="16475"/>
    <n v="5.0270959709999875E-2"/>
  </r>
  <r>
    <s v="LG-0059"/>
    <d v="2026-06-04T00:00:00"/>
    <x v="55"/>
    <x v="2"/>
    <x v="4"/>
    <x v="1"/>
    <s v="Kaduna"/>
    <s v="Kaduna"/>
    <s v="Ibadan"/>
    <s v="Oyo"/>
    <x v="52"/>
    <x v="0"/>
    <n v="10"/>
    <n v="10"/>
    <n v="0"/>
    <x v="57"/>
    <s v="251–500 km"/>
    <x v="2"/>
    <n v="749.31791907514446"/>
    <n v="3"/>
    <n v="13"/>
    <n v="10"/>
    <n v="259264"/>
    <n v="286092"/>
    <s v="Delayed"/>
    <n v="1"/>
    <n v="0"/>
    <n v="-26828"/>
    <n v="-9.3774030731373123E-2"/>
  </r>
  <r>
    <s v="LG-0060"/>
    <d v="2026-06-05T00:00:00"/>
    <x v="56"/>
    <x v="1"/>
    <x v="5"/>
    <x v="4"/>
    <s v="Kano"/>
    <s v="Kano"/>
    <s v="Minna"/>
    <s v="Niger"/>
    <x v="53"/>
    <x v="1"/>
    <n v="158"/>
    <n v="155"/>
    <n v="3"/>
    <x v="58"/>
    <s v="101–250 km"/>
    <x v="1"/>
    <n v="15300.549295774648"/>
    <n v="5"/>
    <n v="5"/>
    <n v="0"/>
    <n v="2172678"/>
    <n v="2318789"/>
    <s v="On Time"/>
    <n v="0"/>
    <n v="1.8987341772151899E-2"/>
    <n v="-146111"/>
    <n v="-6.3011770368067127E-2"/>
  </r>
  <r>
    <s v="LG-0061"/>
    <d v="2026-06-06T00:00:00"/>
    <x v="57"/>
    <x v="1"/>
    <x v="3"/>
    <x v="1"/>
    <s v="Port Harcourt"/>
    <s v="Rivers"/>
    <s v="Enugu"/>
    <s v="Enugu"/>
    <x v="54"/>
    <x v="0"/>
    <n v="138"/>
    <n v="137"/>
    <n v="1"/>
    <x v="59"/>
    <s v="501–1,000 km"/>
    <x v="0"/>
    <n v="1281.4873949579833"/>
    <n v="3"/>
    <n v="4"/>
    <n v="1"/>
    <n v="914982"/>
    <n v="853380"/>
    <s v="Minor Delay"/>
    <n v="1"/>
    <n v="7.246376811594203E-3"/>
    <n v="61602"/>
    <n v="7.2185896083807918E-2"/>
  </r>
  <r>
    <s v="LG-0062"/>
    <d v="2026-06-07T00:00:00"/>
    <x v="58"/>
    <x v="1"/>
    <x v="5"/>
    <x v="3"/>
    <s v="Calabar"/>
    <s v="Cross River"/>
    <s v="Kano"/>
    <s v="Kano"/>
    <x v="55"/>
    <x v="0"/>
    <n v="53"/>
    <n v="51"/>
    <n v="2"/>
    <x v="60"/>
    <s v="501–1,000 km"/>
    <x v="0"/>
    <n v="997.80165289256195"/>
    <n v="3"/>
    <n v="3"/>
    <n v="0"/>
    <n v="603670"/>
    <n v="570383"/>
    <s v="On Time"/>
    <n v="1"/>
    <n v="3.7735849056603772E-2"/>
    <n v="33287"/>
    <n v="5.835903243960637E-2"/>
  </r>
  <r>
    <s v="LG-0063"/>
    <d v="2026-06-08T00:00:00"/>
    <x v="59"/>
    <x v="5"/>
    <x v="7"/>
    <x v="0"/>
    <s v="Ibadan"/>
    <s v="Oyo"/>
    <s v="Lagos"/>
    <s v="Lagos"/>
    <x v="56"/>
    <x v="0"/>
    <n v="97"/>
    <n v="96"/>
    <n v="1"/>
    <x v="61"/>
    <s v="501–1,000 km"/>
    <x v="0"/>
    <n v="2016.4906600249067"/>
    <n v="5"/>
    <n v="5"/>
    <n v="0"/>
    <n v="1619242"/>
    <n v="1554999"/>
    <s v="On Time"/>
    <n v="1"/>
    <n v="1.0309278350515464E-2"/>
    <n v="64243"/>
    <n v="4.1313852934953654E-2"/>
  </r>
  <r>
    <s v="LG-0064"/>
    <d v="2026-06-09T00:00:00"/>
    <x v="60"/>
    <x v="1"/>
    <x v="3"/>
    <x v="2"/>
    <s v="Port Harcourt"/>
    <s v="Rivers"/>
    <s v="Ilorin"/>
    <s v="Kwara"/>
    <x v="57"/>
    <x v="1"/>
    <n v="44"/>
    <n v="43"/>
    <n v="1"/>
    <x v="62"/>
    <s v="251–500 km"/>
    <x v="2"/>
    <n v="1906.344827586207"/>
    <n v="6"/>
    <n v="6"/>
    <n v="0"/>
    <n v="608124"/>
    <n v="635380"/>
    <s v="On Time"/>
    <n v="1"/>
    <n v="2.2727272727272728E-2"/>
    <n v="-27256"/>
    <n v="-4.289716390191696E-2"/>
  </r>
  <r>
    <s v="LG-0065"/>
    <d v="2026-06-10T00:00:00"/>
    <x v="61"/>
    <x v="3"/>
    <x v="3"/>
    <x v="3"/>
    <s v="Lagos"/>
    <s v="Lagos"/>
    <s v="Calabar"/>
    <s v="Cross River"/>
    <x v="58"/>
    <x v="0"/>
    <n v="43"/>
    <n v="43"/>
    <n v="0"/>
    <x v="63"/>
    <s v="101–250 km"/>
    <x v="1"/>
    <n v="2204.265765765766"/>
    <n v="4"/>
    <n v="9"/>
    <n v="5"/>
    <n v="489347"/>
    <n v="511632"/>
    <s v="Delayed"/>
    <n v="0"/>
    <n v="0"/>
    <n v="-22285"/>
    <n v="-4.3556697000969445E-2"/>
  </r>
  <r>
    <s v="LG-0066"/>
    <d v="2026-06-11T00:00:00"/>
    <x v="1"/>
    <x v="2"/>
    <x v="0"/>
    <x v="1"/>
    <s v="Port Harcourt"/>
    <s v="Rivers"/>
    <s v="Kaduna"/>
    <s v="Kaduna"/>
    <x v="46"/>
    <x v="1"/>
    <n v="101"/>
    <n v="100"/>
    <n v="1"/>
    <x v="64"/>
    <s v="251–500 km"/>
    <x v="2"/>
    <n v="1703.4022988505747"/>
    <n v="5"/>
    <n v="5"/>
    <n v="0"/>
    <n v="740980"/>
    <n v="686670"/>
    <s v="On Time"/>
    <n v="0"/>
    <n v="9.9009900990099011E-3"/>
    <n v="54310"/>
    <n v="7.9091849068693848E-2"/>
  </r>
  <r>
    <s v="LG-0067"/>
    <d v="2026-06-12T00:00:00"/>
    <x v="62"/>
    <x v="2"/>
    <x v="1"/>
    <x v="1"/>
    <s v="Minna"/>
    <s v="Niger"/>
    <s v="Lagos"/>
    <s v="Lagos"/>
    <x v="22"/>
    <x v="0"/>
    <n v="113"/>
    <n v="112"/>
    <n v="1"/>
    <x v="65"/>
    <s v="101–250 km"/>
    <x v="1"/>
    <n v="5984.9125000000004"/>
    <n v="5"/>
    <n v="5"/>
    <n v="0"/>
    <n v="1436379"/>
    <n v="1550512"/>
    <s v="On Time"/>
    <n v="1"/>
    <n v="8.8495575221238937E-3"/>
    <n v="-114133"/>
    <n v="-7.3609878543345678E-2"/>
  </r>
  <r>
    <s v="LG-0068"/>
    <d v="2026-06-13T00:00:00"/>
    <x v="24"/>
    <x v="2"/>
    <x v="0"/>
    <x v="0"/>
    <s v="Ibadan"/>
    <s v="Oyo"/>
    <s v="Ilorin"/>
    <s v="Kwara"/>
    <x v="59"/>
    <x v="1"/>
    <n v="152"/>
    <n v="150"/>
    <n v="2"/>
    <x v="66"/>
    <s v="0–100 km"/>
    <x v="3"/>
    <n v="46772.914285714287"/>
    <n v="5"/>
    <n v="6"/>
    <n v="1"/>
    <n v="1637052"/>
    <n v="1600358"/>
    <s v="Minor Delay"/>
    <n v="1"/>
    <n v="1.3157894736842105E-2"/>
    <n v="36694"/>
    <n v="2.2928619721337352E-2"/>
  </r>
  <r>
    <s v="LG-0069"/>
    <d v="2026-06-14T00:00:00"/>
    <x v="63"/>
    <x v="5"/>
    <x v="0"/>
    <x v="2"/>
    <s v="Jos"/>
    <s v="Plateau"/>
    <s v="Lagos"/>
    <s v="Lagos"/>
    <x v="60"/>
    <x v="1"/>
    <n v="104"/>
    <n v="103"/>
    <n v="1"/>
    <x v="67"/>
    <s v="251–500 km"/>
    <x v="2"/>
    <n v="2980.1724137931033"/>
    <n v="5"/>
    <n v="6"/>
    <n v="1"/>
    <n v="1037100"/>
    <n v="1089238"/>
    <s v="Minor Delay"/>
    <n v="1"/>
    <n v="9.6153846153846159E-3"/>
    <n v="-52138"/>
    <n v="-4.7866490151830914E-2"/>
  </r>
  <r>
    <s v="LG-0070"/>
    <d v="2026-06-15T00:00:00"/>
    <x v="64"/>
    <x v="5"/>
    <x v="6"/>
    <x v="4"/>
    <s v="Asaba"/>
    <s v="Delta"/>
    <s v="Enugu"/>
    <s v="Enugu"/>
    <x v="61"/>
    <x v="1"/>
    <n v="94"/>
    <n v="91"/>
    <n v="3"/>
    <x v="68"/>
    <s v="501–1,000 km"/>
    <x v="0"/>
    <n v="2484.1640866873063"/>
    <n v="2"/>
    <n v="2"/>
    <n v="0"/>
    <n v="1604770"/>
    <n v="1582992"/>
    <s v="On Time"/>
    <n v="1"/>
    <n v="3.1914893617021274E-2"/>
    <n v="21778"/>
    <n v="1.375749214146376E-2"/>
  </r>
  <r>
    <s v="LG-0071"/>
    <d v="2026-06-16T00:00:00"/>
    <x v="65"/>
    <x v="5"/>
    <x v="1"/>
    <x v="3"/>
    <s v="Calabar"/>
    <s v="Cross River"/>
    <s v="Jos"/>
    <s v="Plateau"/>
    <x v="62"/>
    <x v="0"/>
    <n v="121"/>
    <n v="121"/>
    <n v="0"/>
    <x v="69"/>
    <s v="501–1,000 km"/>
    <x v="0"/>
    <n v="2398.768115942029"/>
    <n v="3"/>
    <n v="6"/>
    <n v="3"/>
    <n v="1655150"/>
    <n v="1659951"/>
    <s v="Minor Delay"/>
    <n v="1"/>
    <n v="0"/>
    <n v="-4801"/>
    <n v="-2.8922540484628764E-3"/>
  </r>
  <r>
    <s v="LG-0072"/>
    <d v="2026-06-17T00:00:00"/>
    <x v="66"/>
    <x v="4"/>
    <x v="5"/>
    <x v="4"/>
    <s v="Enugu"/>
    <s v="Enugu"/>
    <s v="Ibadan"/>
    <s v="Oyo"/>
    <x v="45"/>
    <x v="1"/>
    <n v="92"/>
    <n v="92"/>
    <n v="0"/>
    <x v="1"/>
    <s v="101–250 km"/>
    <x v="1"/>
    <n v="5814.7567567567567"/>
    <n v="2"/>
    <n v="3"/>
    <n v="1"/>
    <n v="1075730"/>
    <n v="1114582"/>
    <s v="Minor Delay"/>
    <n v="0"/>
    <n v="0"/>
    <n v="-38852"/>
    <n v="-3.4857910858061586E-2"/>
  </r>
  <r>
    <s v="LG-0073"/>
    <d v="2026-06-18T00:00:00"/>
    <x v="18"/>
    <x v="5"/>
    <x v="1"/>
    <x v="1"/>
    <s v="Lagos"/>
    <s v="Lagos"/>
    <s v="Kaduna"/>
    <s v="Kaduna"/>
    <x v="63"/>
    <x v="1"/>
    <n v="122"/>
    <n v="122"/>
    <n v="0"/>
    <x v="70"/>
    <s v="251–500 km"/>
    <x v="2"/>
    <n v="3565.3333333333335"/>
    <n v="7"/>
    <n v="7"/>
    <n v="0"/>
    <n v="1304912"/>
    <n v="1248660"/>
    <s v="On Time"/>
    <n v="1"/>
    <n v="0"/>
    <n v="56252"/>
    <n v="4.5049893485816797E-2"/>
  </r>
  <r>
    <s v="LG-0074"/>
    <d v="2026-06-19T00:00:00"/>
    <x v="67"/>
    <x v="0"/>
    <x v="2"/>
    <x v="2"/>
    <s v="Port Harcourt"/>
    <s v="Rivers"/>
    <s v="Umuahia"/>
    <s v="Abia"/>
    <x v="64"/>
    <x v="1"/>
    <n v="23"/>
    <n v="23"/>
    <n v="0"/>
    <x v="71"/>
    <s v="0–100 km"/>
    <x v="3"/>
    <n v="3111.8571428571427"/>
    <n v="1"/>
    <n v="1"/>
    <n v="0"/>
    <n v="130698"/>
    <n v="138907"/>
    <s v="On Time"/>
    <n v="1"/>
    <n v="0"/>
    <n v="-8209"/>
    <n v="-5.9097093738976439E-2"/>
  </r>
  <r>
    <s v="LG-0075"/>
    <d v="2026-06-20T00:00:00"/>
    <x v="68"/>
    <x v="4"/>
    <x v="6"/>
    <x v="0"/>
    <s v="Abeokuta"/>
    <s v="Ogun"/>
    <s v="Port Harcourt"/>
    <s v="Rivers"/>
    <x v="65"/>
    <x v="1"/>
    <n v="12"/>
    <n v="12"/>
    <n v="0"/>
    <x v="72"/>
    <s v="0–100 km"/>
    <x v="3"/>
    <n v="2184.506329113924"/>
    <n v="5"/>
    <n v="5"/>
    <n v="0"/>
    <n v="172576"/>
    <n v="171654"/>
    <s v="On Time"/>
    <n v="0"/>
    <n v="0"/>
    <n v="922"/>
    <n v="5.3712701131345617E-3"/>
  </r>
  <r>
    <s v="LG-0076"/>
    <d v="2026-06-21T00:00:00"/>
    <x v="69"/>
    <x v="2"/>
    <x v="1"/>
    <x v="1"/>
    <s v="Kaduna"/>
    <s v="Kaduna"/>
    <s v="Umuahia"/>
    <s v="Abia"/>
    <x v="66"/>
    <x v="0"/>
    <n v="76"/>
    <n v="76"/>
    <n v="0"/>
    <x v="73"/>
    <s v="0–100 km"/>
    <x v="3"/>
    <n v="7987.7435897435898"/>
    <n v="1"/>
    <n v="1"/>
    <n v="0"/>
    <n v="623044"/>
    <n v="595448"/>
    <s v="On Time"/>
    <n v="1"/>
    <n v="0"/>
    <n v="27596"/>
    <n v="4.6344936921444022E-2"/>
  </r>
  <r>
    <s v="LG-0077"/>
    <d v="2026-06-22T00:00:00"/>
    <x v="56"/>
    <x v="3"/>
    <x v="2"/>
    <x v="1"/>
    <s v="Ilorin"/>
    <s v="Kwara"/>
    <s v="Benin City"/>
    <s v="Edo"/>
    <x v="67"/>
    <x v="0"/>
    <n v="11"/>
    <n v="11"/>
    <n v="0"/>
    <x v="74"/>
    <s v="251–500 km"/>
    <x v="2"/>
    <n v="728.43502824858751"/>
    <n v="2"/>
    <n v="2"/>
    <n v="0"/>
    <n v="257866"/>
    <n v="247958"/>
    <s v="On Time"/>
    <n v="0"/>
    <n v="0"/>
    <n v="9908"/>
    <n v="3.9958380048233974E-2"/>
  </r>
  <r>
    <s v="LG-0078"/>
    <d v="2026-06-23T00:00:00"/>
    <x v="70"/>
    <x v="3"/>
    <x v="2"/>
    <x v="1"/>
    <s v="Minna"/>
    <s v="Niger"/>
    <s v="Calabar"/>
    <s v="Cross River"/>
    <x v="24"/>
    <x v="1"/>
    <n v="24"/>
    <n v="23"/>
    <n v="1"/>
    <x v="75"/>
    <s v="251–500 km"/>
    <x v="2"/>
    <n v="1017.6526315789474"/>
    <n v="3"/>
    <n v="3"/>
    <n v="0"/>
    <n v="290031"/>
    <n v="311715"/>
    <s v="On Time"/>
    <n v="1"/>
    <n v="4.1666666666666664E-2"/>
    <n v="-21684"/>
    <n v="-6.9563543621577406E-2"/>
  </r>
  <r>
    <s v="LG-0079"/>
    <d v="2026-06-24T00:00:00"/>
    <x v="71"/>
    <x v="2"/>
    <x v="0"/>
    <x v="2"/>
    <s v="Ilorin"/>
    <s v="Kwara"/>
    <s v="Minna"/>
    <s v="Niger"/>
    <x v="68"/>
    <x v="1"/>
    <n v="124"/>
    <n v="122"/>
    <n v="2"/>
    <x v="76"/>
    <s v="0–100 km"/>
    <x v="3"/>
    <n v="19297.156626506025"/>
    <n v="5"/>
    <n v="5"/>
    <n v="0"/>
    <n v="1601664"/>
    <n v="1729750"/>
    <s v="On Time"/>
    <n v="1"/>
    <n v="1.6129032258064516E-2"/>
    <n v="-128086"/>
    <n v="-7.4048850990027462E-2"/>
  </r>
  <r>
    <s v="LG-0080"/>
    <d v="2026-06-25T00:00:00"/>
    <x v="72"/>
    <x v="2"/>
    <x v="2"/>
    <x v="2"/>
    <s v="Kaduna"/>
    <s v="Kaduna"/>
    <s v="Jos"/>
    <s v="Plateau"/>
    <x v="23"/>
    <x v="1"/>
    <n v="33"/>
    <n v="32"/>
    <n v="1"/>
    <x v="77"/>
    <s v="101–250 km"/>
    <x v="1"/>
    <n v="3572.6315789473683"/>
    <n v="5"/>
    <n v="15"/>
    <n v="10"/>
    <n v="475160"/>
    <n v="515318"/>
    <s v="Delayed"/>
    <n v="1"/>
    <n v="3.0303030303030304E-2"/>
    <n v="-40158"/>
    <n v="-7.7928580022432747E-2"/>
  </r>
  <r>
    <s v="LG-0081"/>
    <d v="2026-06-26T00:00:00"/>
    <x v="29"/>
    <x v="2"/>
    <x v="0"/>
    <x v="2"/>
    <s v="Asaba"/>
    <s v="Delta"/>
    <s v="Abeokuta"/>
    <s v="Ogun"/>
    <x v="69"/>
    <x v="0"/>
    <n v="80"/>
    <n v="77"/>
    <n v="3"/>
    <x v="78"/>
    <s v="501–1,000 km"/>
    <x v="0"/>
    <n v="2101.4012841091494"/>
    <n v="3"/>
    <n v="4"/>
    <n v="1"/>
    <n v="1309173"/>
    <n v="1240280"/>
    <s v="Minor Delay"/>
    <n v="1"/>
    <n v="3.7499999999999999E-2"/>
    <n v="68893"/>
    <n v="5.5546328248460022E-2"/>
  </r>
  <r>
    <s v="LG-0082"/>
    <d v="2026-06-27T00:00:00"/>
    <x v="73"/>
    <x v="2"/>
    <x v="0"/>
    <x v="4"/>
    <s v="Minna"/>
    <s v="Niger"/>
    <s v="Benin City"/>
    <s v="Edo"/>
    <x v="70"/>
    <x v="1"/>
    <n v="134"/>
    <n v="129"/>
    <n v="5"/>
    <x v="79"/>
    <s v="501–1,000 km"/>
    <x v="0"/>
    <n v="1274.2978723404256"/>
    <n v="5"/>
    <n v="5"/>
    <n v="0"/>
    <n v="1078056"/>
    <n v="1009663"/>
    <s v="On Time"/>
    <n v="0"/>
    <n v="3.7313432835820892E-2"/>
    <n v="68393"/>
    <n v="6.7738443421220748E-2"/>
  </r>
  <r>
    <s v="LG-0083"/>
    <d v="2026-06-28T00:00:00"/>
    <x v="51"/>
    <x v="1"/>
    <x v="5"/>
    <x v="3"/>
    <s v="Enugu"/>
    <s v="Enugu"/>
    <s v="Kano"/>
    <s v="Kano"/>
    <x v="71"/>
    <x v="0"/>
    <n v="43"/>
    <n v="42"/>
    <n v="1"/>
    <x v="80"/>
    <s v="501–1,000 km"/>
    <x v="0"/>
    <n v="1239.6067708333333"/>
    <n v="3"/>
    <n v="5"/>
    <n v="2"/>
    <n v="952018"/>
    <n v="966498"/>
    <s v="Minor Delay"/>
    <n v="1"/>
    <n v="2.3255813953488372E-2"/>
    <n v="-14480"/>
    <n v="-1.4981924432331987E-2"/>
  </r>
  <r>
    <s v="LG-0084"/>
    <d v="2026-06-29T00:00:00"/>
    <x v="22"/>
    <x v="1"/>
    <x v="3"/>
    <x v="2"/>
    <s v="Calabar"/>
    <s v="Cross River"/>
    <s v="Ilorin"/>
    <s v="Kwara"/>
    <x v="72"/>
    <x v="1"/>
    <n v="113"/>
    <n v="111"/>
    <n v="2"/>
    <x v="81"/>
    <s v="501–1,000 km"/>
    <x v="0"/>
    <n v="1638.108695652174"/>
    <n v="4"/>
    <n v="4"/>
    <n v="0"/>
    <n v="828883"/>
    <n v="780243"/>
    <s v="On Time"/>
    <n v="0"/>
    <n v="1.7699115044247787E-2"/>
    <n v="48640"/>
    <n v="6.2339553190480401E-2"/>
  </r>
  <r>
    <s v="LG-0085"/>
    <d v="2026-06-30T00:00:00"/>
    <x v="74"/>
    <x v="4"/>
    <x v="1"/>
    <x v="1"/>
    <s v="Umuahia"/>
    <s v="Abia"/>
    <s v="Enugu"/>
    <s v="Enugu"/>
    <x v="73"/>
    <x v="1"/>
    <n v="135"/>
    <n v="131"/>
    <n v="4"/>
    <x v="82"/>
    <s v="501–1,000 km"/>
    <x v="0"/>
    <n v="1744.5862068965516"/>
    <n v="3"/>
    <n v="3"/>
    <n v="0"/>
    <n v="910674"/>
    <n v="964348"/>
    <s v="On Time"/>
    <n v="1"/>
    <n v="2.9629629629629631E-2"/>
    <n v="-53674"/>
    <n v="-5.5658330810039527E-2"/>
  </r>
  <r>
    <s v="LG-0086"/>
    <d v="2026-07-01T00:00:00"/>
    <x v="75"/>
    <x v="3"/>
    <x v="3"/>
    <x v="4"/>
    <s v="Lagos"/>
    <s v="Lagos"/>
    <s v="Umuahia"/>
    <s v="Abia"/>
    <x v="74"/>
    <x v="0"/>
    <n v="51"/>
    <n v="51"/>
    <n v="0"/>
    <x v="83"/>
    <s v="0–100 km"/>
    <x v="3"/>
    <n v="8503.75"/>
    <n v="7"/>
    <n v="7"/>
    <n v="0"/>
    <n v="306135"/>
    <n v="335092"/>
    <s v="On Time"/>
    <n v="1"/>
    <n v="0"/>
    <n v="-28957"/>
    <n v="-8.641507406921084E-2"/>
  </r>
  <r>
    <s v="LG-0087"/>
    <d v="2026-07-02T00:00:00"/>
    <x v="76"/>
    <x v="3"/>
    <x v="7"/>
    <x v="0"/>
    <s v="Asaba"/>
    <s v="Delta"/>
    <s v="Kano"/>
    <s v="Kano"/>
    <x v="18"/>
    <x v="1"/>
    <n v="63"/>
    <n v="61"/>
    <n v="2"/>
    <x v="84"/>
    <s v="501–1,000 km"/>
    <x v="0"/>
    <n v="1715.4912280701753"/>
    <n v="6"/>
    <n v="7"/>
    <n v="1"/>
    <n v="880047"/>
    <n v="816582"/>
    <s v="Minor Delay"/>
    <n v="1"/>
    <n v="3.1746031746031744E-2"/>
    <n v="63465"/>
    <n v="7.772030243135411E-2"/>
  </r>
  <r>
    <s v="LG-0088"/>
    <d v="2026-07-03T00:00:00"/>
    <x v="77"/>
    <x v="4"/>
    <x v="4"/>
    <x v="1"/>
    <s v="Kaduna"/>
    <s v="Kaduna"/>
    <s v="Port Harcourt"/>
    <s v="Rivers"/>
    <x v="75"/>
    <x v="0"/>
    <n v="76"/>
    <n v="74"/>
    <n v="2"/>
    <x v="82"/>
    <s v="501–1,000 km"/>
    <x v="0"/>
    <n v="2332.1379310344828"/>
    <n v="5"/>
    <n v="5"/>
    <n v="0"/>
    <n v="1217376"/>
    <n v="1313631"/>
    <s v="On Time"/>
    <n v="1"/>
    <n v="2.6315789473684209E-2"/>
    <n v="-96255"/>
    <n v="-7.3274001603189934E-2"/>
  </r>
  <r>
    <s v="LG-0089"/>
    <d v="2026-07-04T00:00:00"/>
    <x v="78"/>
    <x v="1"/>
    <x v="2"/>
    <x v="4"/>
    <s v="Abeokuta"/>
    <s v="Ogun"/>
    <s v="Enugu"/>
    <s v="Enugu"/>
    <x v="76"/>
    <x v="1"/>
    <n v="156"/>
    <n v="156"/>
    <n v="0"/>
    <x v="85"/>
    <s v="501–1,000 km"/>
    <x v="0"/>
    <n v="3270.1055900621118"/>
    <n v="4"/>
    <n v="6"/>
    <n v="2"/>
    <n v="2105948"/>
    <n v="2310224"/>
    <s v="Minor Delay"/>
    <n v="0"/>
    <n v="0"/>
    <n v="-204276"/>
    <n v="-8.8422594518973052E-2"/>
  </r>
  <r>
    <s v="LG-0090"/>
    <d v="2026-07-05T00:00:00"/>
    <x v="79"/>
    <x v="3"/>
    <x v="0"/>
    <x v="0"/>
    <s v="Asaba"/>
    <s v="Delta"/>
    <s v="Jos"/>
    <s v="Plateau"/>
    <x v="77"/>
    <x v="1"/>
    <n v="112"/>
    <n v="108"/>
    <n v="4"/>
    <x v="86"/>
    <s v="251–500 km"/>
    <x v="2"/>
    <n v="3448.2025316455697"/>
    <n v="4"/>
    <n v="8"/>
    <n v="4"/>
    <n v="1634448"/>
    <n v="1788118"/>
    <s v="Delayed"/>
    <n v="1"/>
    <n v="3.5714285714285712E-2"/>
    <n v="-153670"/>
    <n v="-8.593951853289325E-2"/>
  </r>
  <r>
    <s v="LG-0091"/>
    <d v="2026-07-06T00:00:00"/>
    <x v="80"/>
    <x v="4"/>
    <x v="0"/>
    <x v="2"/>
    <s v="Ibadan"/>
    <s v="Oyo"/>
    <s v="Enugu"/>
    <s v="Enugu"/>
    <x v="78"/>
    <x v="1"/>
    <n v="66"/>
    <n v="66"/>
    <n v="0"/>
    <x v="87"/>
    <s v="251–500 km"/>
    <x v="2"/>
    <n v="1759.5799256505577"/>
    <n v="1"/>
    <n v="1"/>
    <n v="0"/>
    <n v="473327"/>
    <n v="461180"/>
    <s v="On Time"/>
    <n v="1"/>
    <n v="0"/>
    <n v="12147"/>
    <n v="2.6338956589617938E-2"/>
  </r>
  <r>
    <s v="LG-0092"/>
    <d v="2026-07-07T00:00:00"/>
    <x v="81"/>
    <x v="1"/>
    <x v="4"/>
    <x v="2"/>
    <s v="Port Harcourt"/>
    <s v="Rivers"/>
    <s v="Lagos"/>
    <s v="Lagos"/>
    <x v="79"/>
    <x v="0"/>
    <n v="72"/>
    <n v="71"/>
    <n v="1"/>
    <x v="43"/>
    <s v="101–250 km"/>
    <x v="1"/>
    <n v="4066.329411764706"/>
    <n v="4"/>
    <n v="4"/>
    <n v="0"/>
    <n v="691276"/>
    <n v="674307"/>
    <s v="On Time"/>
    <n v="1"/>
    <n v="1.3888888888888888E-2"/>
    <n v="16969"/>
    <n v="2.5165095423894456E-2"/>
  </r>
  <r>
    <s v="LG-0093"/>
    <d v="2026-07-08T00:00:00"/>
    <x v="44"/>
    <x v="1"/>
    <x v="4"/>
    <x v="3"/>
    <s v="Jos"/>
    <s v="Plateau"/>
    <s v="Kano"/>
    <s v="Kano"/>
    <x v="80"/>
    <x v="1"/>
    <n v="65"/>
    <n v="64"/>
    <n v="1"/>
    <x v="88"/>
    <s v="251–500 km"/>
    <x v="2"/>
    <n v="1941.0915841584158"/>
    <n v="2"/>
    <n v="9"/>
    <n v="7"/>
    <n v="784201"/>
    <n v="859346"/>
    <s v="Delayed"/>
    <n v="0"/>
    <n v="1.5384615384615385E-2"/>
    <n v="-75145"/>
    <n v="-8.7444405396662109E-2"/>
  </r>
  <r>
    <s v="LG-0094"/>
    <d v="2026-07-09T00:00:00"/>
    <x v="82"/>
    <x v="2"/>
    <x v="3"/>
    <x v="2"/>
    <s v="Ilorin"/>
    <s v="Kwara"/>
    <s v="Enugu"/>
    <s v="Enugu"/>
    <x v="81"/>
    <x v="1"/>
    <n v="121"/>
    <n v="118"/>
    <n v="3"/>
    <x v="89"/>
    <s v="251–500 km"/>
    <x v="2"/>
    <n v="4169.4719101123592"/>
    <n v="7"/>
    <n v="8"/>
    <n v="1"/>
    <n v="1113249"/>
    <n v="1075547"/>
    <s v="Minor Delay"/>
    <n v="1"/>
    <n v="2.4793388429752067E-2"/>
    <n v="37702"/>
    <n v="3.5053791233669938E-2"/>
  </r>
  <r>
    <s v="LG-0095"/>
    <d v="2026-07-10T00:00:00"/>
    <x v="62"/>
    <x v="5"/>
    <x v="6"/>
    <x v="1"/>
    <s v="Minna"/>
    <s v="Niger"/>
    <s v="Ibadan"/>
    <s v="Oyo"/>
    <x v="82"/>
    <x v="0"/>
    <n v="51"/>
    <n v="49"/>
    <n v="2"/>
    <x v="31"/>
    <s v="501–1,000 km"/>
    <x v="0"/>
    <n v="649.39280958721702"/>
    <n v="3"/>
    <n v="3"/>
    <n v="0"/>
    <n v="487694"/>
    <n v="539170"/>
    <s v="On Time"/>
    <n v="1"/>
    <n v="3.9215686274509803E-2"/>
    <n v="-51476"/>
    <n v="-9.5472670957212014E-2"/>
  </r>
  <r>
    <s v="LG-0096"/>
    <d v="2026-07-11T00:00:00"/>
    <x v="83"/>
    <x v="3"/>
    <x v="3"/>
    <x v="1"/>
    <s v="Asaba"/>
    <s v="Delta"/>
    <s v="Umuahia"/>
    <s v="Abia"/>
    <x v="83"/>
    <x v="1"/>
    <n v="72"/>
    <n v="71"/>
    <n v="1"/>
    <x v="90"/>
    <s v="251–500 km"/>
    <x v="2"/>
    <n v="1348.1732283464567"/>
    <n v="5"/>
    <n v="5"/>
    <n v="0"/>
    <n v="513654"/>
    <n v="512746"/>
    <s v="On Time"/>
    <n v="1"/>
    <n v="1.3888888888888888E-2"/>
    <n v="908"/>
    <n v="1.7708573055664988E-3"/>
  </r>
  <r>
    <s v="LG-0097"/>
    <d v="2026-07-12T00:00:00"/>
    <x v="84"/>
    <x v="3"/>
    <x v="2"/>
    <x v="4"/>
    <s v="Jos"/>
    <s v="Plateau"/>
    <s v="Abeokuta"/>
    <s v="Ogun"/>
    <x v="84"/>
    <x v="1"/>
    <n v="29"/>
    <n v="29"/>
    <n v="0"/>
    <x v="75"/>
    <s v="251–500 km"/>
    <x v="2"/>
    <n v="2027.7543859649122"/>
    <n v="1"/>
    <n v="1"/>
    <n v="0"/>
    <n v="577910"/>
    <n v="564200"/>
    <s v="On Time"/>
    <n v="1"/>
    <n v="0"/>
    <n v="13710"/>
    <n v="2.4299893654732365E-2"/>
  </r>
  <r>
    <s v="LG-0098"/>
    <d v="2026-07-13T00:00:00"/>
    <x v="85"/>
    <x v="5"/>
    <x v="0"/>
    <x v="4"/>
    <s v="Awka"/>
    <s v="Anambra"/>
    <s v="Benin City"/>
    <s v="Edo"/>
    <x v="85"/>
    <x v="0"/>
    <n v="66"/>
    <n v="65"/>
    <n v="1"/>
    <x v="91"/>
    <s v="251–500 km"/>
    <x v="2"/>
    <n v="1513.798927613941"/>
    <n v="6"/>
    <n v="7"/>
    <n v="1"/>
    <n v="564647"/>
    <n v="583993"/>
    <s v="Minor Delay"/>
    <n v="0"/>
    <n v="1.5151515151515152E-2"/>
    <n v="-19346"/>
    <n v="-3.3127109400283905E-2"/>
  </r>
  <r>
    <s v="LG-0099"/>
    <d v="2026-07-14T00:00:00"/>
    <x v="41"/>
    <x v="0"/>
    <x v="2"/>
    <x v="4"/>
    <s v="Lagos"/>
    <s v="Lagos"/>
    <s v="Asaba"/>
    <s v="Delta"/>
    <x v="36"/>
    <x v="1"/>
    <n v="101"/>
    <n v="98"/>
    <n v="3"/>
    <x v="92"/>
    <s v="501–1,000 km"/>
    <x v="0"/>
    <n v="1471.1159663865546"/>
    <n v="5"/>
    <n v="7"/>
    <n v="2"/>
    <n v="875314"/>
    <n v="951818"/>
    <s v="Minor Delay"/>
    <n v="0"/>
    <n v="2.9702970297029702E-2"/>
    <n v="-76504"/>
    <n v="-8.0376710673679214E-2"/>
  </r>
  <r>
    <s v="LG-0100"/>
    <d v="2026-07-15T00:00:00"/>
    <x v="6"/>
    <x v="4"/>
    <x v="5"/>
    <x v="4"/>
    <s v="Enugu"/>
    <s v="Enugu"/>
    <s v="Umuahia"/>
    <s v="Abia"/>
    <x v="41"/>
    <x v="1"/>
    <n v="142"/>
    <n v="137"/>
    <n v="5"/>
    <x v="93"/>
    <s v="501–1,000 km"/>
    <x v="0"/>
    <n v="2831.477011494253"/>
    <n v="4"/>
    <n v="8"/>
    <n v="4"/>
    <n v="1970708"/>
    <n v="2106098"/>
    <s v="Delayed"/>
    <n v="1"/>
    <n v="3.5211267605633804E-2"/>
    <n v="-135390"/>
    <n v="-6.428475787926298E-2"/>
  </r>
  <r>
    <s v="LG-0101"/>
    <d v="2026-07-16T00:00:00"/>
    <x v="58"/>
    <x v="0"/>
    <x v="1"/>
    <x v="0"/>
    <s v="Umuahia"/>
    <s v="Abia"/>
    <s v="Awka"/>
    <s v="Anambra"/>
    <x v="30"/>
    <x v="0"/>
    <n v="159"/>
    <n v="155"/>
    <n v="4"/>
    <x v="94"/>
    <s v="101–250 km"/>
    <x v="1"/>
    <n v="8127.0729927007296"/>
    <n v="2"/>
    <n v="2"/>
    <n v="0"/>
    <n v="1113409"/>
    <n v="1082189"/>
    <s v="On Time"/>
    <n v="1"/>
    <n v="2.5157232704402517E-2"/>
    <n v="31220"/>
    <n v="2.8848934890301048E-2"/>
  </r>
  <r>
    <s v="LG-0102"/>
    <d v="2026-07-17T00:00:00"/>
    <x v="6"/>
    <x v="1"/>
    <x v="2"/>
    <x v="2"/>
    <s v="Jos"/>
    <s v="Plateau"/>
    <s v="Abeokuta"/>
    <s v="Ogun"/>
    <x v="84"/>
    <x v="2"/>
    <n v="41"/>
    <n v="39"/>
    <n v="2"/>
    <x v="95"/>
    <s v="251–500 km"/>
    <x v="2"/>
    <n v="2070.2682119205297"/>
    <n v="3"/>
    <n v="3"/>
    <n v="0"/>
    <n v="625221"/>
    <n v="671594"/>
    <s v="On Time"/>
    <n v="1"/>
    <n v="4.878048780487805E-2"/>
    <n v="-46373"/>
    <n v="-6.9049157675619491E-2"/>
  </r>
  <r>
    <s v="LG-0103"/>
    <d v="2026-07-18T00:00:00"/>
    <x v="25"/>
    <x v="3"/>
    <x v="1"/>
    <x v="2"/>
    <s v="Minna"/>
    <s v="Niger"/>
    <s v="Asaba"/>
    <s v="Delta"/>
    <x v="86"/>
    <x v="0"/>
    <n v="54"/>
    <n v="53"/>
    <n v="1"/>
    <x v="96"/>
    <s v="251–500 km"/>
    <x v="2"/>
    <n v="2031.9795918367347"/>
    <n v="1"/>
    <n v="1"/>
    <n v="0"/>
    <n v="597402"/>
    <n v="665371"/>
    <s v="On Time"/>
    <n v="1"/>
    <n v="1.8518518518518517E-2"/>
    <n v="-67969"/>
    <n v="-0.10215203247511538"/>
  </r>
  <r>
    <s v="LG-0104"/>
    <d v="2026-07-19T00:00:00"/>
    <x v="77"/>
    <x v="3"/>
    <x v="3"/>
    <x v="4"/>
    <s v="Asaba"/>
    <s v="Delta"/>
    <s v="Calabar"/>
    <s v="Cross River"/>
    <x v="87"/>
    <x v="1"/>
    <n v="30"/>
    <n v="29"/>
    <n v="1"/>
    <x v="81"/>
    <s v="501–1,000 km"/>
    <x v="0"/>
    <n v="1213.6363636363637"/>
    <n v="5"/>
    <n v="5"/>
    <n v="0"/>
    <n v="614100"/>
    <n v="687438"/>
    <s v="On Time"/>
    <n v="1"/>
    <n v="3.3333333333333333E-2"/>
    <n v="-73338"/>
    <n v="-0.10668307541916508"/>
  </r>
  <r>
    <s v="LG-0105"/>
    <d v="2026-07-20T00:00:00"/>
    <x v="40"/>
    <x v="3"/>
    <x v="1"/>
    <x v="3"/>
    <s v="Umuahia"/>
    <s v="Abia"/>
    <s v="Enugu"/>
    <s v="Enugu"/>
    <x v="73"/>
    <x v="2"/>
    <n v="88"/>
    <n v="87"/>
    <n v="1"/>
    <x v="97"/>
    <s v="0–100 km"/>
    <x v="3"/>
    <n v="19776.695652173912"/>
    <n v="5"/>
    <n v="8"/>
    <n v="3"/>
    <n v="909728"/>
    <n v="1009955"/>
    <s v="Minor Delay"/>
    <n v="1"/>
    <n v="1.1363636363636364E-2"/>
    <n v="-100227"/>
    <n v="-9.9239075008292446E-2"/>
  </r>
  <r>
    <s v="LG-0106"/>
    <d v="2026-07-21T00:00:00"/>
    <x v="86"/>
    <x v="4"/>
    <x v="5"/>
    <x v="3"/>
    <s v="Asaba"/>
    <s v="Delta"/>
    <s v="Ibadan"/>
    <s v="Oyo"/>
    <x v="44"/>
    <x v="0"/>
    <n v="62"/>
    <n v="62"/>
    <n v="0"/>
    <x v="98"/>
    <s v="501–1,000 km"/>
    <x v="0"/>
    <n v="1041.1470054446461"/>
    <n v="3"/>
    <n v="3"/>
    <n v="0"/>
    <n v="573672"/>
    <n v="531350"/>
    <s v="On Time"/>
    <n v="1"/>
    <n v="0"/>
    <n v="42322"/>
    <n v="7.9649948245036226E-2"/>
  </r>
  <r>
    <s v="LG-0107"/>
    <d v="2026-07-22T00:00:00"/>
    <x v="6"/>
    <x v="3"/>
    <x v="6"/>
    <x v="3"/>
    <s v="Enugu"/>
    <s v="Enugu"/>
    <s v="Kano"/>
    <s v="Kano"/>
    <x v="71"/>
    <x v="1"/>
    <n v="57"/>
    <n v="55"/>
    <n v="2"/>
    <x v="99"/>
    <s v="501–1,000 km"/>
    <x v="0"/>
    <n v="1567.6801470588234"/>
    <n v="2"/>
    <n v="6"/>
    <n v="4"/>
    <n v="852818"/>
    <n v="928681"/>
    <s v="Delayed"/>
    <n v="1"/>
    <n v="3.5087719298245612E-2"/>
    <n v="-75863"/>
    <n v="-8.1688976085437306E-2"/>
  </r>
  <r>
    <s v="LG-0108"/>
    <d v="2026-07-23T00:00:00"/>
    <x v="87"/>
    <x v="4"/>
    <x v="4"/>
    <x v="4"/>
    <s v="Minna"/>
    <s v="Niger"/>
    <s v="Ibadan"/>
    <s v="Oyo"/>
    <x v="82"/>
    <x v="1"/>
    <n v="21"/>
    <n v="20"/>
    <n v="1"/>
    <x v="100"/>
    <s v="251–500 km"/>
    <x v="2"/>
    <n v="891.90384615384619"/>
    <n v="5"/>
    <n v="6"/>
    <n v="1"/>
    <n v="231895"/>
    <n v="239242"/>
    <s v="Minor Delay"/>
    <n v="1"/>
    <n v="4.7619047619047616E-2"/>
    <n v="-7347"/>
    <n v="-3.0709490808470085E-2"/>
  </r>
  <r>
    <s v="LG-0109"/>
    <d v="2026-07-24T00:00:00"/>
    <x v="88"/>
    <x v="1"/>
    <x v="6"/>
    <x v="1"/>
    <s v="Benin City"/>
    <s v="Edo"/>
    <s v="Abeokuta"/>
    <s v="Ogun"/>
    <x v="88"/>
    <x v="2"/>
    <n v="76"/>
    <n v="73"/>
    <n v="3"/>
    <x v="50"/>
    <s v="501–1,000 km"/>
    <x v="0"/>
    <n v="1680.980319803198"/>
    <n v="3"/>
    <n v="13"/>
    <n v="10"/>
    <n v="1366637"/>
    <n v="1365419"/>
    <s v="Delayed"/>
    <n v="1"/>
    <n v="3.9473684210526314E-2"/>
    <n v="1218"/>
    <n v="8.9203387385117683E-4"/>
  </r>
  <r>
    <s v="LG-0110"/>
    <d v="2026-07-25T00:00:00"/>
    <x v="89"/>
    <x v="2"/>
    <x v="6"/>
    <x v="0"/>
    <s v="Asaba"/>
    <s v="Delta"/>
    <s v="Ibadan"/>
    <s v="Oyo"/>
    <x v="44"/>
    <x v="0"/>
    <n v="50"/>
    <n v="49"/>
    <n v="1"/>
    <x v="93"/>
    <s v="501–1,000 km"/>
    <x v="0"/>
    <n v="1413.2385057471265"/>
    <n v="2"/>
    <n v="2"/>
    <n v="0"/>
    <n v="983614"/>
    <n v="1026530"/>
    <s v="On Time"/>
    <n v="1"/>
    <n v="0.02"/>
    <n v="-42916"/>
    <n v="-4.1806863900714059E-2"/>
  </r>
  <r>
    <s v="LG-0111"/>
    <d v="2026-07-26T00:00:00"/>
    <x v="3"/>
    <x v="4"/>
    <x v="3"/>
    <x v="1"/>
    <s v="Awka"/>
    <s v="Anambra"/>
    <s v="Lagos"/>
    <s v="Lagos"/>
    <x v="35"/>
    <x v="1"/>
    <n v="81"/>
    <n v="78"/>
    <n v="3"/>
    <x v="101"/>
    <s v="101–250 km"/>
    <x v="1"/>
    <n v="7690.5214285714283"/>
    <n v="4"/>
    <n v="8"/>
    <n v="4"/>
    <n v="1076673"/>
    <n v="1059897"/>
    <s v="Delayed"/>
    <n v="1"/>
    <n v="3.7037037037037035E-2"/>
    <n v="16776"/>
    <n v="1.5827953093555319E-2"/>
  </r>
  <r>
    <s v="LG-0112"/>
    <d v="2026-07-27T00:00:00"/>
    <x v="45"/>
    <x v="2"/>
    <x v="2"/>
    <x v="3"/>
    <s v="Umuahia"/>
    <s v="Abia"/>
    <s v="Ibadan"/>
    <s v="Oyo"/>
    <x v="89"/>
    <x v="0"/>
    <n v="107"/>
    <n v="104"/>
    <n v="3"/>
    <x v="102"/>
    <s v="101–250 km"/>
    <x v="1"/>
    <n v="6311.5263157894733"/>
    <n v="1"/>
    <n v="6"/>
    <n v="5"/>
    <n v="1558947"/>
    <n v="1655308"/>
    <s v="Delayed"/>
    <n v="1"/>
    <n v="2.8037383177570093E-2"/>
    <n v="-96361"/>
    <n v="-5.821333552426497E-2"/>
  </r>
  <r>
    <s v="LG-0113"/>
    <d v="2026-07-28T00:00:00"/>
    <x v="70"/>
    <x v="4"/>
    <x v="0"/>
    <x v="2"/>
    <s v="Port Harcourt"/>
    <s v="Rivers"/>
    <s v="Calabar"/>
    <s v="Cross River"/>
    <x v="90"/>
    <x v="1"/>
    <n v="136"/>
    <n v="130"/>
    <n v="6"/>
    <x v="103"/>
    <s v="251–500 km"/>
    <x v="2"/>
    <n v="2044.159420289855"/>
    <n v="2"/>
    <n v="6"/>
    <n v="4"/>
    <n v="846282"/>
    <n v="859975"/>
    <s v="Delayed"/>
    <n v="1"/>
    <n v="4.4117647058823532E-2"/>
    <n v="-13693"/>
    <n v="-1.5922555888252567E-2"/>
  </r>
  <r>
    <s v="LG-0114"/>
    <d v="2026-07-29T00:00:00"/>
    <x v="83"/>
    <x v="0"/>
    <x v="5"/>
    <x v="1"/>
    <s v="Umuahia"/>
    <s v="Abia"/>
    <s v="Ibadan"/>
    <s v="Oyo"/>
    <x v="89"/>
    <x v="1"/>
    <n v="140"/>
    <n v="138"/>
    <n v="2"/>
    <x v="104"/>
    <s v="501–1,000 km"/>
    <x v="0"/>
    <n v="1599.9524438573317"/>
    <n v="3"/>
    <n v="3"/>
    <n v="0"/>
    <n v="1211164"/>
    <n v="1124847"/>
    <s v="On Time"/>
    <n v="1"/>
    <n v="1.4285714285714285E-2"/>
    <n v="86317"/>
    <n v="7.6736658407765682E-2"/>
  </r>
  <r>
    <s v="LG-0115"/>
    <d v="2026-07-30T00:00:00"/>
    <x v="88"/>
    <x v="2"/>
    <x v="0"/>
    <x v="3"/>
    <s v="Asaba"/>
    <s v="Delta"/>
    <s v="Benin City"/>
    <s v="Edo"/>
    <x v="91"/>
    <x v="0"/>
    <n v="39"/>
    <n v="38"/>
    <n v="1"/>
    <x v="105"/>
    <s v="251–500 km"/>
    <x v="2"/>
    <n v="1479.7590618336887"/>
    <n v="4"/>
    <n v="5"/>
    <n v="1"/>
    <n v="694007"/>
    <n v="642741"/>
    <s v="Minor Delay"/>
    <n v="1"/>
    <n v="2.564102564102564E-2"/>
    <n v="51266"/>
    <n v="7.9761521359303353E-2"/>
  </r>
  <r>
    <s v="LG-0116"/>
    <d v="2026-07-31T00:00:00"/>
    <x v="53"/>
    <x v="3"/>
    <x v="5"/>
    <x v="3"/>
    <s v="Benin City"/>
    <s v="Edo"/>
    <s v="Ilorin"/>
    <s v="Kwara"/>
    <x v="92"/>
    <x v="1"/>
    <n v="156"/>
    <n v="156"/>
    <n v="0"/>
    <x v="106"/>
    <s v="501–1,000 km"/>
    <x v="0"/>
    <n v="2237.7064846416383"/>
    <n v="3"/>
    <n v="13"/>
    <n v="10"/>
    <n v="1311296"/>
    <n v="1358155"/>
    <s v="Delayed"/>
    <n v="0"/>
    <n v="0"/>
    <n v="-46859"/>
    <n v="-3.4501953017144579E-2"/>
  </r>
  <r>
    <s v="LG-0117"/>
    <d v="2026-08-01T00:00:00"/>
    <x v="90"/>
    <x v="5"/>
    <x v="5"/>
    <x v="3"/>
    <s v="Abeokuta"/>
    <s v="Ogun"/>
    <s v="Calabar"/>
    <s v="Cross River"/>
    <x v="50"/>
    <x v="0"/>
    <n v="119"/>
    <n v="114"/>
    <n v="5"/>
    <x v="107"/>
    <s v="101–250 km"/>
    <x v="1"/>
    <n v="8185.2333333333336"/>
    <n v="5"/>
    <n v="7"/>
    <n v="2"/>
    <n v="1718899"/>
    <n v="1653808"/>
    <s v="Minor Delay"/>
    <n v="1"/>
    <n v="4.2016806722689079E-2"/>
    <n v="65091"/>
    <n v="3.9358256823041129E-2"/>
  </r>
  <r>
    <s v="LG-0118"/>
    <d v="2026-08-02T00:00:00"/>
    <x v="91"/>
    <x v="0"/>
    <x v="6"/>
    <x v="2"/>
    <s v="Port Harcourt"/>
    <s v="Rivers"/>
    <s v="Kaduna"/>
    <s v="Kaduna"/>
    <x v="46"/>
    <x v="1"/>
    <n v="123"/>
    <n v="118"/>
    <n v="5"/>
    <x v="108"/>
    <s v="251–500 km"/>
    <x v="2"/>
    <n v="4016.5394321766562"/>
    <n v="2"/>
    <n v="9"/>
    <n v="7"/>
    <n v="1273243"/>
    <n v="1196184"/>
    <s v="Delayed"/>
    <n v="1"/>
    <n v="4.065040650406504E-2"/>
    <n v="77059"/>
    <n v="6.4420691131130331E-2"/>
  </r>
  <r>
    <s v="LG-0119"/>
    <d v="2026-08-03T00:00:00"/>
    <x v="53"/>
    <x v="5"/>
    <x v="5"/>
    <x v="1"/>
    <s v="Ilorin"/>
    <s v="Kwara"/>
    <s v="Abeokuta"/>
    <s v="Ogun"/>
    <x v="93"/>
    <x v="2"/>
    <n v="32"/>
    <n v="32"/>
    <n v="0"/>
    <x v="109"/>
    <s v="0–100 km"/>
    <x v="3"/>
    <n v="5367.8666666666668"/>
    <n v="2"/>
    <n v="2"/>
    <n v="0"/>
    <n v="483108"/>
    <n v="475879"/>
    <s v="On Time"/>
    <n v="0"/>
    <n v="0"/>
    <n v="7229"/>
    <n v="1.5190836326040864E-2"/>
  </r>
  <r>
    <s v="LG-0120"/>
    <d v="2026-08-04T00:00:00"/>
    <x v="77"/>
    <x v="1"/>
    <x v="3"/>
    <x v="3"/>
    <s v="Asaba"/>
    <s v="Delta"/>
    <s v="Port Harcourt"/>
    <s v="Rivers"/>
    <x v="94"/>
    <x v="1"/>
    <n v="98"/>
    <n v="96"/>
    <n v="2"/>
    <x v="38"/>
    <s v="251–500 km"/>
    <x v="2"/>
    <n v="3838.5090909090909"/>
    <n v="4"/>
    <n v="4"/>
    <n v="0"/>
    <n v="1477826"/>
    <n v="1433111"/>
    <s v="On Time"/>
    <n v="1"/>
    <n v="2.0408163265306121E-2"/>
    <n v="44715"/>
    <n v="3.1201351465448245E-2"/>
  </r>
  <r>
    <s v="LG-0121"/>
    <d v="2026-08-05T00:00:00"/>
    <x v="92"/>
    <x v="4"/>
    <x v="5"/>
    <x v="0"/>
    <s v="Awka"/>
    <s v="Anambra"/>
    <s v="Jos"/>
    <s v="Plateau"/>
    <x v="34"/>
    <x v="1"/>
    <n v="53"/>
    <n v="52"/>
    <n v="1"/>
    <x v="12"/>
    <s v="501–1,000 km"/>
    <x v="0"/>
    <n v="1652.4836852207293"/>
    <n v="5"/>
    <n v="7"/>
    <n v="2"/>
    <n v="860944"/>
    <n v="868928"/>
    <s v="Minor Delay"/>
    <n v="1"/>
    <n v="1.8867924528301886E-2"/>
    <n v="-7984"/>
    <n v="-9.1883332105767105E-3"/>
  </r>
  <r>
    <s v="LG-0122"/>
    <d v="2026-08-06T00:00:00"/>
    <x v="93"/>
    <x v="5"/>
    <x v="7"/>
    <x v="3"/>
    <s v="Jos"/>
    <s v="Plateau"/>
    <s v="Calabar"/>
    <s v="Cross River"/>
    <x v="95"/>
    <x v="1"/>
    <n v="123"/>
    <n v="119"/>
    <n v="4"/>
    <x v="110"/>
    <s v="0–100 km"/>
    <x v="3"/>
    <n v="18725.169491525423"/>
    <n v="6"/>
    <n v="6"/>
    <n v="0"/>
    <n v="1104785"/>
    <n v="1035969"/>
    <s v="On Time"/>
    <n v="1"/>
    <n v="3.2520325203252036E-2"/>
    <n v="68816"/>
    <n v="6.6426698096178557E-2"/>
  </r>
  <r>
    <s v="LG-0123"/>
    <d v="2026-08-07T00:00:00"/>
    <x v="10"/>
    <x v="4"/>
    <x v="7"/>
    <x v="3"/>
    <s v="Minna"/>
    <s v="Niger"/>
    <s v="Ilorin"/>
    <s v="Kwara"/>
    <x v="96"/>
    <x v="1"/>
    <n v="130"/>
    <n v="126"/>
    <n v="4"/>
    <x v="111"/>
    <s v="101–250 km"/>
    <x v="1"/>
    <n v="6892.4647302904568"/>
    <n v="4"/>
    <n v="6"/>
    <n v="2"/>
    <n v="1661084"/>
    <n v="1816534"/>
    <s v="Minor Delay"/>
    <n v="1"/>
    <n v="3.0769230769230771E-2"/>
    <n v="-155450"/>
    <n v="-8.5575056673863517E-2"/>
  </r>
  <r>
    <s v="LG-0124"/>
    <d v="2026-08-08T00:00:00"/>
    <x v="94"/>
    <x v="0"/>
    <x v="0"/>
    <x v="0"/>
    <s v="Kaduna"/>
    <s v="Kaduna"/>
    <s v="Port Harcourt"/>
    <s v="Rivers"/>
    <x v="75"/>
    <x v="0"/>
    <n v="128"/>
    <n v="128"/>
    <n v="0"/>
    <x v="112"/>
    <s v="251–500 km"/>
    <x v="2"/>
    <n v="4235.3634085213034"/>
    <n v="2"/>
    <n v="7"/>
    <n v="5"/>
    <n v="1689910"/>
    <n v="1586453"/>
    <s v="Delayed"/>
    <n v="1"/>
    <n v="0"/>
    <n v="103457"/>
    <n v="6.5212773400787793E-2"/>
  </r>
  <r>
    <s v="LG-0125"/>
    <d v="2026-08-09T00:00:00"/>
    <x v="95"/>
    <x v="4"/>
    <x v="3"/>
    <x v="2"/>
    <s v="Lagos"/>
    <s v="Lagos"/>
    <s v="Kaduna"/>
    <s v="Kaduna"/>
    <x v="63"/>
    <x v="0"/>
    <n v="118"/>
    <n v="117"/>
    <n v="1"/>
    <x v="113"/>
    <s v="101–250 km"/>
    <x v="1"/>
    <n v="8806.834319526628"/>
    <n v="7"/>
    <n v="9"/>
    <n v="2"/>
    <n v="1488355"/>
    <n v="1626655"/>
    <s v="Minor Delay"/>
    <n v="1"/>
    <n v="8.4745762711864406E-3"/>
    <n v="-138300"/>
    <n v="-8.5021101585769573E-2"/>
  </r>
  <r>
    <s v="LG-0126"/>
    <d v="2026-08-10T00:00:00"/>
    <x v="22"/>
    <x v="1"/>
    <x v="3"/>
    <x v="2"/>
    <s v="Ibadan"/>
    <s v="Oyo"/>
    <s v="Calabar"/>
    <s v="Cross River"/>
    <x v="97"/>
    <x v="1"/>
    <n v="109"/>
    <n v="107"/>
    <n v="2"/>
    <x v="114"/>
    <s v="501–1,000 km"/>
    <x v="0"/>
    <n v="2567.2827476038337"/>
    <n v="5"/>
    <n v="7"/>
    <n v="2"/>
    <n v="1607119"/>
    <n v="1529748"/>
    <s v="Minor Delay"/>
    <n v="1"/>
    <n v="1.834862385321101E-2"/>
    <n v="77371"/>
    <n v="5.0577611475877075E-2"/>
  </r>
  <r>
    <s v="LG-0127"/>
    <d v="2026-08-11T00:00:00"/>
    <x v="96"/>
    <x v="5"/>
    <x v="0"/>
    <x v="1"/>
    <s v="Jos"/>
    <s v="Plateau"/>
    <s v="Umuahia"/>
    <s v="Abia"/>
    <x v="98"/>
    <x v="0"/>
    <n v="72"/>
    <n v="70"/>
    <n v="2"/>
    <x v="14"/>
    <s v="501–1,000 km"/>
    <x v="0"/>
    <n v="1152.3817034700317"/>
    <n v="2"/>
    <n v="2"/>
    <n v="0"/>
    <n v="730610"/>
    <n v="769711"/>
    <s v="On Time"/>
    <n v="1"/>
    <n v="2.7777777777777776E-2"/>
    <n v="-39101"/>
    <n v="-5.0799585818573467E-2"/>
  </r>
  <r>
    <s v="LG-0128"/>
    <d v="2026-08-12T00:00:00"/>
    <x v="97"/>
    <x v="1"/>
    <x v="3"/>
    <x v="2"/>
    <s v="Lagos"/>
    <s v="Lagos"/>
    <s v="Kano"/>
    <s v="Kano"/>
    <x v="99"/>
    <x v="1"/>
    <n v="69"/>
    <n v="67"/>
    <n v="2"/>
    <x v="115"/>
    <s v="0–100 km"/>
    <x v="3"/>
    <n v="6713.14"/>
    <n v="4"/>
    <n v="4"/>
    <n v="0"/>
    <n v="671314"/>
    <n v="710984"/>
    <s v="On Time"/>
    <n v="1"/>
    <n v="2.8985507246376812E-2"/>
    <n v="-39670"/>
    <n v="-5.579591101909466E-2"/>
  </r>
  <r>
    <s v="LG-0129"/>
    <d v="2026-08-13T00:00:00"/>
    <x v="98"/>
    <x v="2"/>
    <x v="3"/>
    <x v="3"/>
    <s v="Lagos"/>
    <s v="Lagos"/>
    <s v="Ibadan"/>
    <s v="Oyo"/>
    <x v="8"/>
    <x v="1"/>
    <n v="114"/>
    <n v="114"/>
    <n v="0"/>
    <x v="116"/>
    <s v="501–1,000 km"/>
    <x v="0"/>
    <n v="2186.3745318352062"/>
    <n v="1"/>
    <n v="2"/>
    <n v="1"/>
    <n v="1751286"/>
    <n v="1913571"/>
    <s v="Minor Delay"/>
    <n v="1"/>
    <n v="0"/>
    <n v="-162285"/>
    <n v="-8.4807409811289994E-2"/>
  </r>
  <r>
    <s v="LG-0130"/>
    <d v="2026-08-14T00:00:00"/>
    <x v="99"/>
    <x v="5"/>
    <x v="1"/>
    <x v="4"/>
    <s v="Benin City"/>
    <s v="Edo"/>
    <s v="Abeokuta"/>
    <s v="Ogun"/>
    <x v="88"/>
    <x v="0"/>
    <n v="19"/>
    <n v="18"/>
    <n v="1"/>
    <x v="117"/>
    <s v="0–100 km"/>
    <x v="3"/>
    <n v="4358.6417910447763"/>
    <n v="4"/>
    <n v="5"/>
    <n v="1"/>
    <n v="292029"/>
    <n v="316149"/>
    <s v="Minor Delay"/>
    <n v="1"/>
    <n v="5.2631578947368418E-2"/>
    <n v="-24120"/>
    <n v="-7.6293140259814207E-2"/>
  </r>
  <r>
    <s v="LG-0131"/>
    <d v="2026-08-15T00:00:00"/>
    <x v="100"/>
    <x v="3"/>
    <x v="2"/>
    <x v="1"/>
    <s v="Benin City"/>
    <s v="Edo"/>
    <s v="Kaduna"/>
    <s v="Kaduna"/>
    <x v="100"/>
    <x v="1"/>
    <n v="128"/>
    <n v="127"/>
    <n v="1"/>
    <x v="118"/>
    <s v="251–500 km"/>
    <x v="2"/>
    <n v="3901.5390070921985"/>
    <n v="1"/>
    <n v="2"/>
    <n v="1"/>
    <n v="1650351"/>
    <n v="1824309"/>
    <s v="Minor Delay"/>
    <n v="1"/>
    <n v="7.8125E-3"/>
    <n v="-173958"/>
    <n v="-9.5355556542230505E-2"/>
  </r>
  <r>
    <s v="LG-0132"/>
    <d v="2026-08-16T00:00:00"/>
    <x v="1"/>
    <x v="4"/>
    <x v="5"/>
    <x v="4"/>
    <s v="Umuahia"/>
    <s v="Abia"/>
    <s v="Calabar"/>
    <s v="Cross River"/>
    <x v="101"/>
    <x v="1"/>
    <n v="150"/>
    <n v="148"/>
    <n v="2"/>
    <x v="119"/>
    <s v="0–100 km"/>
    <x v="3"/>
    <n v="65356.307692307695"/>
    <n v="4"/>
    <n v="4"/>
    <n v="0"/>
    <n v="1699264"/>
    <n v="1604746"/>
    <s v="On Time"/>
    <n v="1"/>
    <n v="1.3333333333333334E-2"/>
    <n v="94518"/>
    <n v="5.8899040720462925E-2"/>
  </r>
  <r>
    <s v="LG-0133"/>
    <d v="2026-08-17T00:00:00"/>
    <x v="25"/>
    <x v="5"/>
    <x v="0"/>
    <x v="4"/>
    <s v="Calabar"/>
    <s v="Cross River"/>
    <s v="Kaduna"/>
    <s v="Kaduna"/>
    <x v="102"/>
    <x v="1"/>
    <n v="46"/>
    <n v="46"/>
    <n v="0"/>
    <x v="9"/>
    <s v="0–100 km"/>
    <x v="3"/>
    <n v="7961.9666666666662"/>
    <n v="2"/>
    <n v="3"/>
    <n v="1"/>
    <n v="477718"/>
    <n v="516507"/>
    <s v="Minor Delay"/>
    <n v="1"/>
    <n v="0"/>
    <n v="-38789"/>
    <n v="-7.5098691789269076E-2"/>
  </r>
  <r>
    <s v="LG-0134"/>
    <d v="2026-08-18T00:00:00"/>
    <x v="101"/>
    <x v="2"/>
    <x v="1"/>
    <x v="4"/>
    <s v="Asaba"/>
    <s v="Delta"/>
    <s v="Awka"/>
    <s v="Anambra"/>
    <x v="103"/>
    <x v="1"/>
    <n v="126"/>
    <n v="124"/>
    <n v="2"/>
    <x v="120"/>
    <s v="501–1,000 km"/>
    <x v="0"/>
    <n v="3071.4383561643835"/>
    <n v="5"/>
    <n v="6"/>
    <n v="1"/>
    <n v="2017935"/>
    <n v="2219737"/>
    <s v="Minor Delay"/>
    <n v="1"/>
    <n v="1.5873015873015872E-2"/>
    <n v="-201802"/>
    <n v="-9.0912572074980061E-2"/>
  </r>
  <r>
    <s v="LG-0135"/>
    <d v="2026-08-19T00:00:00"/>
    <x v="30"/>
    <x v="4"/>
    <x v="5"/>
    <x v="2"/>
    <s v="Ilorin"/>
    <s v="Kwara"/>
    <s v="Abeokuta"/>
    <s v="Ogun"/>
    <x v="93"/>
    <x v="1"/>
    <n v="93"/>
    <n v="93"/>
    <n v="0"/>
    <x v="43"/>
    <s v="101–250 km"/>
    <x v="1"/>
    <n v="5515.5294117647063"/>
    <n v="5"/>
    <n v="5"/>
    <n v="0"/>
    <n v="937640"/>
    <n v="890702"/>
    <s v="On Time"/>
    <n v="1"/>
    <n v="0"/>
    <n v="46938"/>
    <n v="5.2697759744561035E-2"/>
  </r>
  <r>
    <s v="LG-0136"/>
    <d v="2026-08-20T00:00:00"/>
    <x v="102"/>
    <x v="1"/>
    <x v="5"/>
    <x v="1"/>
    <s v="Kaduna"/>
    <s v="Kaduna"/>
    <s v="Benin City"/>
    <s v="Edo"/>
    <x v="104"/>
    <x v="1"/>
    <n v="15"/>
    <n v="15"/>
    <n v="0"/>
    <x v="121"/>
    <s v="501–1,000 km"/>
    <x v="0"/>
    <n v="531.00593471810089"/>
    <n v="2"/>
    <n v="2"/>
    <n v="0"/>
    <n v="357898"/>
    <n v="374505"/>
    <s v="On Time"/>
    <n v="1"/>
    <n v="0"/>
    <n v="-16607"/>
    <n v="-4.4343867238087607E-2"/>
  </r>
  <r>
    <s v="LG-0137"/>
    <d v="2026-08-21T00:00:00"/>
    <x v="79"/>
    <x v="4"/>
    <x v="6"/>
    <x v="4"/>
    <s v="Kaduna"/>
    <s v="Kaduna"/>
    <s v="Benin City"/>
    <s v="Edo"/>
    <x v="104"/>
    <x v="0"/>
    <n v="28"/>
    <n v="27"/>
    <n v="1"/>
    <x v="122"/>
    <s v="501–1,000 km"/>
    <x v="0"/>
    <n v="432.87845303867402"/>
    <n v="3"/>
    <n v="3"/>
    <n v="0"/>
    <n v="313404"/>
    <n v="326141"/>
    <s v="On Time"/>
    <n v="1"/>
    <n v="3.5714285714285712E-2"/>
    <n v="-12737"/>
    <n v="-3.9053660839943459E-2"/>
  </r>
  <r>
    <s v="LG-0138"/>
    <d v="2026-08-22T00:00:00"/>
    <x v="103"/>
    <x v="3"/>
    <x v="2"/>
    <x v="1"/>
    <s v="Lagos"/>
    <s v="Lagos"/>
    <s v="Ilorin"/>
    <s v="Kwara"/>
    <x v="105"/>
    <x v="1"/>
    <n v="74"/>
    <n v="73"/>
    <n v="1"/>
    <x v="123"/>
    <s v="251–500 km"/>
    <x v="2"/>
    <n v="1276.1692650334076"/>
    <n v="3"/>
    <n v="3"/>
    <n v="0"/>
    <n v="573000"/>
    <n v="586644"/>
    <s v="On Time"/>
    <n v="1"/>
    <n v="1.3513513513513514E-2"/>
    <n v="-13644"/>
    <n v="-2.3257716775420868E-2"/>
  </r>
  <r>
    <s v="LG-0139"/>
    <d v="2026-08-23T00:00:00"/>
    <x v="104"/>
    <x v="0"/>
    <x v="2"/>
    <x v="0"/>
    <s v="Benin City"/>
    <s v="Edo"/>
    <s v="Kano"/>
    <s v="Kano"/>
    <x v="39"/>
    <x v="1"/>
    <n v="48"/>
    <n v="46"/>
    <n v="2"/>
    <x v="124"/>
    <s v="251–500 km"/>
    <x v="2"/>
    <n v="1904.4518518518519"/>
    <n v="4"/>
    <n v="6"/>
    <n v="2"/>
    <n v="771303"/>
    <n v="812874"/>
    <s v="Minor Delay"/>
    <n v="0"/>
    <n v="4.1666666666666664E-2"/>
    <n v="-41571"/>
    <n v="-5.114076720377328E-2"/>
  </r>
  <r>
    <s v="LG-0140"/>
    <d v="2026-08-24T00:00:00"/>
    <x v="105"/>
    <x v="4"/>
    <x v="3"/>
    <x v="3"/>
    <s v="Ilorin"/>
    <s v="Kwara"/>
    <s v="Benin City"/>
    <s v="Edo"/>
    <x v="67"/>
    <x v="0"/>
    <n v="59"/>
    <n v="58"/>
    <n v="1"/>
    <x v="125"/>
    <s v="101–250 km"/>
    <x v="1"/>
    <n v="2417.1336206896553"/>
    <n v="4"/>
    <n v="6"/>
    <n v="2"/>
    <n v="560775"/>
    <n v="563319"/>
    <s v="Minor Delay"/>
    <n v="1"/>
    <n v="1.6949152542372881E-2"/>
    <n v="-2544"/>
    <n v="-4.5160912378243946E-3"/>
  </r>
  <r>
    <s v="LG-0141"/>
    <d v="2026-08-25T00:00:00"/>
    <x v="69"/>
    <x v="0"/>
    <x v="5"/>
    <x v="2"/>
    <s v="Kano"/>
    <s v="Kano"/>
    <s v="Ilorin"/>
    <s v="Kwara"/>
    <x v="31"/>
    <x v="1"/>
    <n v="96"/>
    <n v="93"/>
    <n v="3"/>
    <x v="126"/>
    <s v="501–1,000 km"/>
    <x v="0"/>
    <n v="2607.7281105990783"/>
    <n v="6"/>
    <n v="6"/>
    <n v="0"/>
    <n v="1697631"/>
    <n v="1822780"/>
    <s v="On Time"/>
    <n v="1"/>
    <n v="3.125E-2"/>
    <n v="-125149"/>
    <n v="-6.8658313126104084E-2"/>
  </r>
  <r>
    <s v="LG-0142"/>
    <d v="2026-08-26T00:00:00"/>
    <x v="80"/>
    <x v="2"/>
    <x v="1"/>
    <x v="2"/>
    <s v="Benin City"/>
    <s v="Edo"/>
    <s v="Awka"/>
    <s v="Anambra"/>
    <x v="106"/>
    <x v="1"/>
    <n v="40"/>
    <n v="40"/>
    <n v="0"/>
    <x v="127"/>
    <s v="501–1,000 km"/>
    <x v="0"/>
    <n v="1077.4158415841584"/>
    <n v="2"/>
    <n v="2"/>
    <n v="0"/>
    <n v="544095"/>
    <n v="537748"/>
    <s v="On Time"/>
    <n v="1"/>
    <n v="0"/>
    <n v="6347"/>
    <n v="1.1802926277736039E-2"/>
  </r>
  <r>
    <s v="LG-0143"/>
    <d v="2026-08-27T00:00:00"/>
    <x v="82"/>
    <x v="2"/>
    <x v="2"/>
    <x v="2"/>
    <s v="Jos"/>
    <s v="Plateau"/>
    <s v="Lagos"/>
    <s v="Lagos"/>
    <x v="60"/>
    <x v="0"/>
    <n v="158"/>
    <n v="155"/>
    <n v="3"/>
    <x v="128"/>
    <s v="101–250 km"/>
    <x v="1"/>
    <n v="6807.1272727272726"/>
    <n v="5"/>
    <n v="5"/>
    <n v="0"/>
    <n v="1497568"/>
    <n v="1653132"/>
    <s v="On Time"/>
    <n v="1"/>
    <n v="1.8987341772151899E-2"/>
    <n v="-155564"/>
    <n v="-9.4102588299059001E-2"/>
  </r>
  <r>
    <s v="LG-0144"/>
    <d v="2026-08-28T00:00:00"/>
    <x v="18"/>
    <x v="5"/>
    <x v="5"/>
    <x v="1"/>
    <s v="Minna"/>
    <s v="Niger"/>
    <s v="Asaba"/>
    <s v="Delta"/>
    <x v="86"/>
    <x v="1"/>
    <n v="138"/>
    <n v="136"/>
    <n v="2"/>
    <x v="129"/>
    <s v="0–100 km"/>
    <x v="3"/>
    <n v="18712.483516483517"/>
    <n v="4"/>
    <n v="6"/>
    <n v="2"/>
    <n v="1702836"/>
    <n v="1676451"/>
    <s v="Minor Delay"/>
    <n v="1"/>
    <n v="1.4492753623188406E-2"/>
    <n v="26385"/>
    <n v="1.5738604945805156E-2"/>
  </r>
  <r>
    <s v="LG-0145"/>
    <d v="2026-08-29T00:00:00"/>
    <x v="106"/>
    <x v="5"/>
    <x v="1"/>
    <x v="2"/>
    <s v="Abeokuta"/>
    <s v="Ogun"/>
    <s v="Port Harcourt"/>
    <s v="Rivers"/>
    <x v="65"/>
    <x v="1"/>
    <n v="29"/>
    <n v="28"/>
    <n v="1"/>
    <x v="42"/>
    <s v="251–500 km"/>
    <x v="2"/>
    <n v="1161.0072202166066"/>
    <n v="4"/>
    <n v="9"/>
    <n v="5"/>
    <n v="321599"/>
    <n v="327198"/>
    <s v="Delayed"/>
    <n v="1"/>
    <n v="3.4482758620689655E-2"/>
    <n v="-5599"/>
    <n v="-1.71119627870586E-2"/>
  </r>
  <r>
    <s v="LG-0146"/>
    <d v="2026-08-30T00:00:00"/>
    <x v="107"/>
    <x v="4"/>
    <x v="0"/>
    <x v="3"/>
    <s v="Asaba"/>
    <s v="Delta"/>
    <s v="Jos"/>
    <s v="Plateau"/>
    <x v="77"/>
    <x v="1"/>
    <n v="29"/>
    <n v="28"/>
    <n v="1"/>
    <x v="130"/>
    <s v="101–250 km"/>
    <x v="1"/>
    <n v="3926.5922330097087"/>
    <n v="3"/>
    <n v="3"/>
    <n v="0"/>
    <n v="404439"/>
    <n v="434911"/>
    <s v="On Time"/>
    <n v="1"/>
    <n v="3.4482758620689655E-2"/>
    <n v="-30472"/>
    <n v="-7.0064909832126571E-2"/>
  </r>
  <r>
    <s v="LG-0147"/>
    <d v="2026-08-31T00:00:00"/>
    <x v="6"/>
    <x v="3"/>
    <x v="4"/>
    <x v="2"/>
    <s v="Abeokuta"/>
    <s v="Ogun"/>
    <s v="Umuahia"/>
    <s v="Abia"/>
    <x v="47"/>
    <x v="2"/>
    <n v="47"/>
    <n v="47"/>
    <n v="0"/>
    <x v="131"/>
    <s v="251–500 km"/>
    <x v="2"/>
    <n v="1936.3776978417266"/>
    <n v="6"/>
    <n v="6"/>
    <n v="0"/>
    <n v="538313"/>
    <n v="511615"/>
    <s v="On Time"/>
    <n v="1"/>
    <n v="0"/>
    <n v="26698"/>
    <n v="5.2183770999677491E-2"/>
  </r>
  <r>
    <s v="LG-0148"/>
    <d v="2026-09-01T00:00:00"/>
    <x v="108"/>
    <x v="1"/>
    <x v="0"/>
    <x v="3"/>
    <s v="Kaduna"/>
    <s v="Kaduna"/>
    <s v="Ibadan"/>
    <s v="Oyo"/>
    <x v="52"/>
    <x v="1"/>
    <n v="119"/>
    <n v="117"/>
    <n v="2"/>
    <x v="132"/>
    <s v="251–500 km"/>
    <x v="2"/>
    <n v="5828.9756097560976"/>
    <n v="2"/>
    <n v="2"/>
    <n v="0"/>
    <n v="1672916"/>
    <n v="1745872"/>
    <s v="On Time"/>
    <n v="1"/>
    <n v="1.680672268907563E-2"/>
    <n v="-72956"/>
    <n v="-4.1787714105043214E-2"/>
  </r>
  <r>
    <s v="LG-0149"/>
    <d v="2026-09-02T00:00:00"/>
    <x v="109"/>
    <x v="3"/>
    <x v="0"/>
    <x v="4"/>
    <s v="Ilorin"/>
    <s v="Kwara"/>
    <s v="Umuahia"/>
    <s v="Abia"/>
    <x v="40"/>
    <x v="1"/>
    <n v="67"/>
    <n v="65"/>
    <n v="2"/>
    <x v="133"/>
    <s v="501–1,000 km"/>
    <x v="0"/>
    <n v="1839.271119842829"/>
    <n v="4"/>
    <n v="8"/>
    <n v="4"/>
    <n v="936189"/>
    <n v="983761"/>
    <s v="Delayed"/>
    <n v="1"/>
    <n v="2.9850746268656716E-2"/>
    <n v="-47572"/>
    <n v="-4.8357273768730412E-2"/>
  </r>
  <r>
    <s v="LG-0150"/>
    <d v="2026-09-03T00:00:00"/>
    <x v="110"/>
    <x v="3"/>
    <x v="0"/>
    <x v="0"/>
    <s v="Port Harcourt"/>
    <s v="Rivers"/>
    <s v="Kaduna"/>
    <s v="Kaduna"/>
    <x v="46"/>
    <x v="1"/>
    <n v="83"/>
    <n v="83"/>
    <n v="0"/>
    <x v="134"/>
    <s v="501–1,000 km"/>
    <x v="0"/>
    <n v="1831.3489051094891"/>
    <n v="2"/>
    <n v="2"/>
    <n v="0"/>
    <n v="1254474"/>
    <n v="1201709"/>
    <s v="On Time"/>
    <n v="1"/>
    <n v="0"/>
    <n v="52765"/>
    <n v="4.3908300595235622E-2"/>
  </r>
  <r>
    <s v="LG-0151"/>
    <d v="2026-09-04T00:00:00"/>
    <x v="22"/>
    <x v="5"/>
    <x v="3"/>
    <x v="4"/>
    <s v="Abeokuta"/>
    <s v="Ogun"/>
    <s v="Umuahia"/>
    <s v="Abia"/>
    <x v="47"/>
    <x v="0"/>
    <n v="143"/>
    <n v="141"/>
    <n v="2"/>
    <x v="135"/>
    <s v="501–1,000 km"/>
    <x v="0"/>
    <n v="2529.4181568088034"/>
    <n v="2"/>
    <n v="2"/>
    <n v="0"/>
    <n v="1838887"/>
    <n v="1789611"/>
    <s v="On Time"/>
    <n v="1"/>
    <n v="1.3986013986013986E-2"/>
    <n v="49276"/>
    <n v="2.7534475369228286E-2"/>
  </r>
  <r>
    <s v="LG-0152"/>
    <d v="2026-09-05T00:00:00"/>
    <x v="111"/>
    <x v="4"/>
    <x v="6"/>
    <x v="4"/>
    <s v="Ilorin"/>
    <s v="Kwara"/>
    <s v="Umuahia"/>
    <s v="Abia"/>
    <x v="40"/>
    <x v="0"/>
    <n v="117"/>
    <n v="114"/>
    <n v="3"/>
    <x v="136"/>
    <s v="101–250 km"/>
    <x v="1"/>
    <n v="4364.9069767441861"/>
    <n v="3"/>
    <n v="10"/>
    <n v="7"/>
    <n v="563073"/>
    <n v="553546"/>
    <s v="Delayed"/>
    <n v="1"/>
    <n v="2.564102564102564E-2"/>
    <n v="9527"/>
    <n v="1.7210855105086117E-2"/>
  </r>
  <r>
    <s v="LG-0153"/>
    <d v="2026-09-06T00:00:00"/>
    <x v="112"/>
    <x v="3"/>
    <x v="1"/>
    <x v="4"/>
    <s v="Lagos"/>
    <s v="Lagos"/>
    <s v="Minna"/>
    <s v="Niger"/>
    <x v="107"/>
    <x v="1"/>
    <n v="32"/>
    <n v="31"/>
    <n v="1"/>
    <x v="137"/>
    <s v="501–1,000 km"/>
    <x v="0"/>
    <n v="820.41677943166439"/>
    <n v="3"/>
    <n v="6"/>
    <n v="3"/>
    <n v="606288"/>
    <n v="612365"/>
    <s v="Minor Delay"/>
    <n v="1"/>
    <n v="3.125E-2"/>
    <n v="-6077"/>
    <n v="-9.9238199439876541E-3"/>
  </r>
  <r>
    <s v="LG-0154"/>
    <d v="2026-09-07T00:00:00"/>
    <x v="113"/>
    <x v="1"/>
    <x v="0"/>
    <x v="3"/>
    <s v="Awka"/>
    <s v="Anambra"/>
    <s v="Lagos"/>
    <s v="Lagos"/>
    <x v="35"/>
    <x v="1"/>
    <n v="91"/>
    <n v="90"/>
    <n v="1"/>
    <x v="117"/>
    <s v="0–100 km"/>
    <x v="3"/>
    <n v="11063.910447761195"/>
    <n v="5"/>
    <n v="5"/>
    <n v="0"/>
    <n v="741282"/>
    <n v="800900"/>
    <s v="On Time"/>
    <n v="1"/>
    <n v="1.098901098901099E-2"/>
    <n v="-59618"/>
    <n v="-7.4438756399051065E-2"/>
  </r>
  <r>
    <s v="LG-0155"/>
    <d v="2026-09-08T00:00:00"/>
    <x v="114"/>
    <x v="2"/>
    <x v="7"/>
    <x v="3"/>
    <s v="Benin City"/>
    <s v="Edo"/>
    <s v="Kano"/>
    <s v="Kano"/>
    <x v="39"/>
    <x v="0"/>
    <n v="147"/>
    <n v="142"/>
    <n v="5"/>
    <x v="138"/>
    <s v="101–250 km"/>
    <x v="1"/>
    <n v="6438.5744680851067"/>
    <n v="4"/>
    <n v="14"/>
    <n v="10"/>
    <n v="1513065"/>
    <n v="1499399"/>
    <s v="Delayed"/>
    <n v="1"/>
    <n v="3.4013605442176874E-2"/>
    <n v="13666"/>
    <n v="9.1143184702670871E-3"/>
  </r>
  <r>
    <s v="LG-0156"/>
    <d v="2026-09-09T00:00:00"/>
    <x v="115"/>
    <x v="0"/>
    <x v="4"/>
    <x v="0"/>
    <s v="Lagos"/>
    <s v="Lagos"/>
    <s v="Calabar"/>
    <s v="Cross River"/>
    <x v="58"/>
    <x v="2"/>
    <n v="53"/>
    <n v="53"/>
    <n v="0"/>
    <x v="37"/>
    <s v="501–1,000 km"/>
    <x v="0"/>
    <n v="961.76690821256034"/>
    <n v="5"/>
    <n v="6"/>
    <n v="1"/>
    <n v="796343"/>
    <n v="743665"/>
    <s v="Minor Delay"/>
    <n v="1"/>
    <n v="0"/>
    <n v="52678"/>
    <n v="7.0835658529041973E-2"/>
  </r>
  <r>
    <s v="LG-0157"/>
    <d v="2026-09-10T00:00:00"/>
    <x v="98"/>
    <x v="1"/>
    <x v="6"/>
    <x v="0"/>
    <s v="Minna"/>
    <s v="Niger"/>
    <s v="Benin City"/>
    <s v="Edo"/>
    <x v="70"/>
    <x v="1"/>
    <n v="122"/>
    <n v="119"/>
    <n v="3"/>
    <x v="139"/>
    <s v="501–1,000 km"/>
    <x v="0"/>
    <n v="2492.5726708074535"/>
    <n v="3"/>
    <n v="10"/>
    <n v="7"/>
    <n v="2006521"/>
    <n v="2146204"/>
    <s v="Delayed"/>
    <n v="1"/>
    <n v="2.4590163934426229E-2"/>
    <n v="-139683"/>
    <n v="-6.5083747863669994E-2"/>
  </r>
  <r>
    <s v="LG-0158"/>
    <d v="2026-09-11T00:00:00"/>
    <x v="30"/>
    <x v="1"/>
    <x v="6"/>
    <x v="4"/>
    <s v="Kaduna"/>
    <s v="Kaduna"/>
    <s v="Jos"/>
    <s v="Plateau"/>
    <x v="23"/>
    <x v="1"/>
    <n v="118"/>
    <n v="114"/>
    <n v="4"/>
    <x v="28"/>
    <s v="501–1,000 km"/>
    <x v="0"/>
    <n v="1371.0884520884522"/>
    <n v="3"/>
    <n v="4"/>
    <n v="1"/>
    <n v="1116066"/>
    <n v="1177668"/>
    <s v="Minor Delay"/>
    <n v="1"/>
    <n v="3.3898305084745763E-2"/>
    <n v="-61602"/>
    <n v="-5.2308460448955055E-2"/>
  </r>
  <r>
    <s v="LG-0159"/>
    <d v="2026-09-12T00:00:00"/>
    <x v="116"/>
    <x v="4"/>
    <x v="6"/>
    <x v="1"/>
    <s v="Ibadan"/>
    <s v="Oyo"/>
    <s v="Minna"/>
    <s v="Niger"/>
    <x v="108"/>
    <x v="0"/>
    <n v="16"/>
    <n v="15"/>
    <n v="1"/>
    <x v="140"/>
    <s v="251–500 km"/>
    <x v="2"/>
    <n v="1057.3463035019456"/>
    <n v="3"/>
    <n v="7"/>
    <n v="4"/>
    <n v="271738"/>
    <n v="291033"/>
    <s v="Delayed"/>
    <n v="1"/>
    <n v="6.25E-2"/>
    <n v="-19295"/>
    <n v="-6.6298323557809596E-2"/>
  </r>
  <r>
    <s v="LG-0160"/>
    <d v="2026-09-13T00:00:00"/>
    <x v="60"/>
    <x v="5"/>
    <x v="4"/>
    <x v="3"/>
    <s v="Asaba"/>
    <s v="Delta"/>
    <s v="Enugu"/>
    <s v="Enugu"/>
    <x v="61"/>
    <x v="1"/>
    <n v="6"/>
    <n v="6"/>
    <n v="0"/>
    <x v="141"/>
    <s v="501–1,000 km"/>
    <x v="0"/>
    <n v="681.19115044247792"/>
    <n v="6"/>
    <n v="6"/>
    <n v="0"/>
    <n v="384873"/>
    <n v="417031"/>
    <s v="On Time"/>
    <n v="1"/>
    <n v="0"/>
    <n v="-32158"/>
    <n v="-7.711177346528196E-2"/>
  </r>
  <r>
    <s v="LG-0161"/>
    <d v="2026-09-14T00:00:00"/>
    <x v="117"/>
    <x v="3"/>
    <x v="4"/>
    <x v="0"/>
    <s v="Umuahia"/>
    <s v="Abia"/>
    <s v="Asaba"/>
    <s v="Delta"/>
    <x v="51"/>
    <x v="0"/>
    <n v="7"/>
    <n v="7"/>
    <n v="0"/>
    <x v="135"/>
    <s v="501–1,000 km"/>
    <x v="0"/>
    <n v="227.24484181568087"/>
    <n v="5"/>
    <n v="7"/>
    <n v="2"/>
    <n v="165207"/>
    <n v="156998"/>
    <s v="Minor Delay"/>
    <n v="1"/>
    <n v="0"/>
    <n v="8209"/>
    <n v="5.228729028395266E-2"/>
  </r>
  <r>
    <s v="LG-0162"/>
    <d v="2026-09-15T00:00:00"/>
    <x v="118"/>
    <x v="2"/>
    <x v="0"/>
    <x v="1"/>
    <s v="Minna"/>
    <s v="Niger"/>
    <s v="Kano"/>
    <s v="Kano"/>
    <x v="109"/>
    <x v="1"/>
    <n v="136"/>
    <n v="135"/>
    <n v="1"/>
    <x v="142"/>
    <s v="101–250 km"/>
    <x v="1"/>
    <n v="10927.1875"/>
    <n v="5"/>
    <n v="9"/>
    <n v="4"/>
    <n v="1398680"/>
    <n v="1510594"/>
    <s v="Delayed"/>
    <n v="1"/>
    <n v="7.3529411764705881E-3"/>
    <n v="-111914"/>
    <n v="-7.4086087989228083E-2"/>
  </r>
  <r>
    <s v="LG-0163"/>
    <d v="2026-09-16T00:00:00"/>
    <x v="119"/>
    <x v="1"/>
    <x v="2"/>
    <x v="1"/>
    <s v="Enugu"/>
    <s v="Enugu"/>
    <s v="Abeokuta"/>
    <s v="Ogun"/>
    <x v="110"/>
    <x v="2"/>
    <n v="90"/>
    <n v="89"/>
    <n v="1"/>
    <x v="143"/>
    <s v="251–500 km"/>
    <x v="2"/>
    <n v="2956.8372093023254"/>
    <n v="3"/>
    <n v="4"/>
    <n v="1"/>
    <n v="762864"/>
    <n v="707222"/>
    <s v="Minor Delay"/>
    <n v="1"/>
    <n v="1.1111111111111112E-2"/>
    <n v="55642"/>
    <n v="7.8676851116056906E-2"/>
  </r>
  <r>
    <s v="LG-0164"/>
    <d v="2026-09-17T00:00:00"/>
    <x v="120"/>
    <x v="5"/>
    <x v="5"/>
    <x v="4"/>
    <s v="Ibadan"/>
    <s v="Oyo"/>
    <s v="Calabar"/>
    <s v="Cross River"/>
    <x v="97"/>
    <x v="0"/>
    <n v="136"/>
    <n v="132"/>
    <n v="4"/>
    <x v="53"/>
    <s v="501–1,000 km"/>
    <x v="0"/>
    <n v="3243.9922720247296"/>
    <n v="6"/>
    <n v="16"/>
    <n v="10"/>
    <n v="2098863"/>
    <n v="2234059"/>
    <s v="Delayed"/>
    <n v="1"/>
    <n v="2.9411764705882353E-2"/>
    <n v="-135196"/>
    <n v="-6.0515859249912381E-2"/>
  </r>
  <r>
    <s v="LG-0165"/>
    <d v="2026-09-18T00:00:00"/>
    <x v="65"/>
    <x v="3"/>
    <x v="6"/>
    <x v="0"/>
    <s v="Asaba"/>
    <s v="Delta"/>
    <s v="Benin City"/>
    <s v="Edo"/>
    <x v="91"/>
    <x v="1"/>
    <n v="42"/>
    <n v="42"/>
    <n v="0"/>
    <x v="4"/>
    <s v="501–1,000 km"/>
    <x v="0"/>
    <n v="872.4221105527638"/>
    <n v="5"/>
    <n v="5"/>
    <n v="0"/>
    <n v="694448"/>
    <n v="651807"/>
    <s v="On Time"/>
    <n v="1"/>
    <n v="0"/>
    <n v="42641"/>
    <n v="6.5419671774006719E-2"/>
  </r>
  <r>
    <s v="LG-0166"/>
    <d v="2026-09-19T00:00:00"/>
    <x v="103"/>
    <x v="4"/>
    <x v="7"/>
    <x v="0"/>
    <s v="Kaduna"/>
    <s v="Kaduna"/>
    <s v="Ilorin"/>
    <s v="Kwara"/>
    <x v="0"/>
    <x v="0"/>
    <n v="86"/>
    <n v="81"/>
    <n v="5"/>
    <x v="144"/>
    <s v="101–250 km"/>
    <x v="1"/>
    <n v="4222.8688524590161"/>
    <n v="1"/>
    <n v="2"/>
    <n v="1"/>
    <n v="772785"/>
    <n v="733991"/>
    <s v="Minor Delay"/>
    <n v="1"/>
    <n v="5.8139534883720929E-2"/>
    <n v="38794"/>
    <n v="5.2853509102972651E-2"/>
  </r>
  <r>
    <s v="LG-0167"/>
    <d v="2026-09-20T00:00:00"/>
    <x v="121"/>
    <x v="5"/>
    <x v="3"/>
    <x v="3"/>
    <s v="Asaba"/>
    <s v="Delta"/>
    <s v="Benin City"/>
    <s v="Edo"/>
    <x v="91"/>
    <x v="0"/>
    <n v="98"/>
    <n v="97"/>
    <n v="1"/>
    <x v="145"/>
    <s v="101–250 km"/>
    <x v="1"/>
    <n v="5424.2125603864733"/>
    <n v="5"/>
    <n v="6"/>
    <n v="1"/>
    <n v="1122812"/>
    <n v="1085951"/>
    <s v="Minor Delay"/>
    <n v="1"/>
    <n v="1.020408163265306E-2"/>
    <n v="36861"/>
    <n v="3.3943520471918162E-2"/>
  </r>
  <r>
    <s v="LG-0168"/>
    <d v="2026-09-21T00:00:00"/>
    <x v="121"/>
    <x v="1"/>
    <x v="5"/>
    <x v="4"/>
    <s v="Asaba"/>
    <s v="Delta"/>
    <s v="Umuahia"/>
    <s v="Abia"/>
    <x v="83"/>
    <x v="1"/>
    <n v="51"/>
    <n v="50"/>
    <n v="1"/>
    <x v="118"/>
    <s v="251–500 km"/>
    <x v="2"/>
    <n v="947.49645390070918"/>
    <n v="3"/>
    <n v="4"/>
    <n v="1"/>
    <n v="400791"/>
    <n v="436044"/>
    <s v="Minor Delay"/>
    <n v="1"/>
    <n v="1.9607843137254902E-2"/>
    <n v="-35253"/>
    <n v="-8.0847345680711127E-2"/>
  </r>
  <r>
    <s v="LG-0169"/>
    <d v="2026-09-22T00:00:00"/>
    <x v="122"/>
    <x v="2"/>
    <x v="1"/>
    <x v="0"/>
    <s v="Jos"/>
    <s v="Plateau"/>
    <s v="Ilorin"/>
    <s v="Kwara"/>
    <x v="111"/>
    <x v="2"/>
    <n v="111"/>
    <n v="111"/>
    <n v="0"/>
    <x v="146"/>
    <s v="501–1,000 km"/>
    <x v="0"/>
    <n v="2130.7395993836672"/>
    <n v="7"/>
    <n v="7"/>
    <n v="0"/>
    <n v="1382850"/>
    <n v="1347745"/>
    <s v="On Time"/>
    <n v="1"/>
    <n v="0"/>
    <n v="35105"/>
    <n v="2.6047212195185292E-2"/>
  </r>
  <r>
    <s v="LG-0170"/>
    <d v="2026-09-23T00:00:00"/>
    <x v="0"/>
    <x v="0"/>
    <x v="4"/>
    <x v="0"/>
    <s v="Ibadan"/>
    <s v="Oyo"/>
    <s v="Benin City"/>
    <s v="Edo"/>
    <x v="112"/>
    <x v="1"/>
    <n v="153"/>
    <n v="150"/>
    <n v="3"/>
    <x v="147"/>
    <s v="0–100 km"/>
    <x v="3"/>
    <n v="21322.602040816328"/>
    <n v="4"/>
    <n v="5"/>
    <n v="1"/>
    <n v="2089615"/>
    <n v="2217507"/>
    <s v="Minor Delay"/>
    <n v="1"/>
    <n v="1.9607843137254902E-2"/>
    <n v="-127892"/>
    <n v="-5.767377509969529E-2"/>
  </r>
  <r>
    <s v="LG-0171"/>
    <d v="2026-09-24T00:00:00"/>
    <x v="76"/>
    <x v="4"/>
    <x v="5"/>
    <x v="3"/>
    <s v="Ibadan"/>
    <s v="Oyo"/>
    <s v="Lagos"/>
    <s v="Lagos"/>
    <x v="56"/>
    <x v="1"/>
    <n v="64"/>
    <n v="63"/>
    <n v="1"/>
    <x v="148"/>
    <s v="251–500 km"/>
    <x v="2"/>
    <n v="1654.7422680412371"/>
    <n v="5"/>
    <n v="8"/>
    <n v="3"/>
    <n v="642040"/>
    <n v="687159"/>
    <s v="Minor Delay"/>
    <n v="1"/>
    <n v="1.5625E-2"/>
    <n v="-45119"/>
    <n v="-6.5660203824733435E-2"/>
  </r>
  <r>
    <s v="LG-0172"/>
    <d v="2026-09-25T00:00:00"/>
    <x v="123"/>
    <x v="1"/>
    <x v="0"/>
    <x v="3"/>
    <s v="Kaduna"/>
    <s v="Kaduna"/>
    <s v="Ibadan"/>
    <s v="Oyo"/>
    <x v="52"/>
    <x v="1"/>
    <n v="84"/>
    <n v="82"/>
    <n v="2"/>
    <x v="149"/>
    <s v="251–500 km"/>
    <x v="2"/>
    <n v="1545.5094339622642"/>
    <n v="6"/>
    <n v="6"/>
    <n v="0"/>
    <n v="655296"/>
    <n v="713589"/>
    <s v="On Time"/>
    <n v="1"/>
    <n v="2.3809523809523808E-2"/>
    <n v="-58293"/>
    <n v="-8.1689880309253643E-2"/>
  </r>
  <r>
    <s v="LG-0173"/>
    <d v="2026-09-26T00:00:00"/>
    <x v="124"/>
    <x v="5"/>
    <x v="2"/>
    <x v="4"/>
    <s v="Kano"/>
    <s v="Kano"/>
    <s v="Enugu"/>
    <s v="Enugu"/>
    <x v="14"/>
    <x v="0"/>
    <n v="25"/>
    <n v="25"/>
    <n v="0"/>
    <x v="128"/>
    <s v="101–250 km"/>
    <x v="1"/>
    <n v="1155.659090909091"/>
    <n v="4"/>
    <n v="5"/>
    <n v="1"/>
    <n v="254245"/>
    <n v="273153"/>
    <s v="Minor Delay"/>
    <n v="1"/>
    <n v="0"/>
    <n v="-18908"/>
    <n v="-6.922127891694399E-2"/>
  </r>
  <r>
    <s v="LG-0174"/>
    <d v="2026-09-27T00:00:00"/>
    <x v="83"/>
    <x v="5"/>
    <x v="3"/>
    <x v="4"/>
    <s v="Minna"/>
    <s v="Niger"/>
    <s v="Awka"/>
    <s v="Anambra"/>
    <x v="113"/>
    <x v="1"/>
    <n v="62"/>
    <n v="61"/>
    <n v="1"/>
    <x v="150"/>
    <s v="0–100 km"/>
    <x v="3"/>
    <n v="11623.444444444445"/>
    <n v="3"/>
    <n v="5"/>
    <n v="2"/>
    <n v="523055"/>
    <n v="501211"/>
    <s v="Minor Delay"/>
    <n v="1"/>
    <n v="1.6129032258064516E-2"/>
    <n v="21844"/>
    <n v="4.3582443322273456E-2"/>
  </r>
  <r>
    <s v="LG-0175"/>
    <d v="2026-09-28T00:00:00"/>
    <x v="11"/>
    <x v="1"/>
    <x v="5"/>
    <x v="0"/>
    <s v="Awka"/>
    <s v="Anambra"/>
    <s v="Jos"/>
    <s v="Plateau"/>
    <x v="34"/>
    <x v="0"/>
    <n v="131"/>
    <n v="129"/>
    <n v="2"/>
    <x v="151"/>
    <s v="501–1,000 km"/>
    <x v="0"/>
    <n v="1737.0408560311284"/>
    <n v="2"/>
    <n v="2"/>
    <n v="0"/>
    <n v="892839"/>
    <n v="914872"/>
    <s v="On Time"/>
    <n v="1"/>
    <n v="1.5267175572519083E-2"/>
    <n v="-22033"/>
    <n v="-2.4083150429786898E-2"/>
  </r>
  <r>
    <s v="LG-0176"/>
    <d v="2026-09-29T00:00:00"/>
    <x v="124"/>
    <x v="0"/>
    <x v="2"/>
    <x v="3"/>
    <s v="Lagos"/>
    <s v="Lagos"/>
    <s v="Minna"/>
    <s v="Niger"/>
    <x v="107"/>
    <x v="1"/>
    <n v="61"/>
    <n v="60"/>
    <n v="1"/>
    <x v="109"/>
    <s v="0–100 km"/>
    <x v="3"/>
    <n v="8031.2777777777774"/>
    <n v="2"/>
    <n v="4"/>
    <n v="2"/>
    <n v="722815"/>
    <n v="789601"/>
    <s v="Minor Delay"/>
    <n v="1"/>
    <n v="1.6393442622950821E-2"/>
    <n v="-66786"/>
    <n v="-8.45819597492911E-2"/>
  </r>
  <r>
    <s v="LG-0177"/>
    <d v="2026-09-30T00:00:00"/>
    <x v="125"/>
    <x v="3"/>
    <x v="4"/>
    <x v="3"/>
    <s v="Enugu"/>
    <s v="Enugu"/>
    <s v="Minna"/>
    <s v="Niger"/>
    <x v="114"/>
    <x v="1"/>
    <n v="36"/>
    <n v="35"/>
    <n v="1"/>
    <x v="152"/>
    <s v="251–500 km"/>
    <x v="2"/>
    <n v="760.96144578313249"/>
    <n v="1"/>
    <n v="4"/>
    <n v="3"/>
    <n v="315799"/>
    <n v="324947"/>
    <s v="Minor Delay"/>
    <n v="1"/>
    <n v="2.7777777777777776E-2"/>
    <n v="-9148"/>
    <n v="-2.8152283295429716E-2"/>
  </r>
  <r>
    <s v="LG-0178"/>
    <d v="2026-10-01T00:00:00"/>
    <x v="126"/>
    <x v="5"/>
    <x v="6"/>
    <x v="3"/>
    <s v="Awka"/>
    <s v="Anambra"/>
    <s v="Port Harcourt"/>
    <s v="Rivers"/>
    <x v="3"/>
    <x v="1"/>
    <n v="32"/>
    <n v="31"/>
    <n v="1"/>
    <x v="153"/>
    <s v="0–100 km"/>
    <x v="3"/>
    <n v="6660.64"/>
    <n v="7"/>
    <n v="8"/>
    <n v="1"/>
    <n v="333032"/>
    <n v="343190"/>
    <s v="Minor Delay"/>
    <n v="1"/>
    <n v="3.125E-2"/>
    <n v="-10158"/>
    <n v="-2.9598764532766105E-2"/>
  </r>
  <r>
    <s v="LG-0179"/>
    <d v="2026-10-02T00:00:00"/>
    <x v="26"/>
    <x v="4"/>
    <x v="2"/>
    <x v="2"/>
    <s v="Lagos"/>
    <s v="Lagos"/>
    <s v="Minna"/>
    <s v="Niger"/>
    <x v="107"/>
    <x v="1"/>
    <n v="93"/>
    <n v="92"/>
    <n v="1"/>
    <x v="154"/>
    <s v="251–500 km"/>
    <x v="2"/>
    <n v="2870.3076923076924"/>
    <n v="2"/>
    <n v="4"/>
    <n v="2"/>
    <n v="1156734"/>
    <n v="1166235"/>
    <s v="Minor Delay"/>
    <n v="1"/>
    <n v="1.0752688172043012E-2"/>
    <n v="-9501"/>
    <n v="-8.1467285752871415E-3"/>
  </r>
  <r>
    <s v="LG-0180"/>
    <d v="2026-10-03T00:00:00"/>
    <x v="124"/>
    <x v="4"/>
    <x v="5"/>
    <x v="1"/>
    <s v="Ilorin"/>
    <s v="Kwara"/>
    <s v="Benin City"/>
    <s v="Edo"/>
    <x v="67"/>
    <x v="0"/>
    <n v="147"/>
    <n v="145"/>
    <n v="2"/>
    <x v="155"/>
    <s v="251–500 km"/>
    <x v="2"/>
    <n v="5814.2709923664124"/>
    <n v="3"/>
    <n v="4"/>
    <n v="1"/>
    <n v="1523339"/>
    <n v="1449595"/>
    <s v="Minor Delay"/>
    <n v="1"/>
    <n v="1.3605442176870748E-2"/>
    <n v="73744"/>
    <n v="5.0872140149490028E-2"/>
  </r>
  <r>
    <s v="LG-0181"/>
    <d v="2026-10-04T00:00:00"/>
    <x v="80"/>
    <x v="0"/>
    <x v="1"/>
    <x v="2"/>
    <s v="Umuahia"/>
    <s v="Abia"/>
    <s v="Ibadan"/>
    <s v="Oyo"/>
    <x v="89"/>
    <x v="1"/>
    <n v="133"/>
    <n v="131"/>
    <n v="2"/>
    <x v="99"/>
    <s v="501–1,000 km"/>
    <x v="0"/>
    <n v="1814.8088235294117"/>
    <n v="3"/>
    <n v="13"/>
    <n v="10"/>
    <n v="987256"/>
    <n v="1037466"/>
    <s v="Delayed"/>
    <n v="1"/>
    <n v="1.5037593984962405E-2"/>
    <n v="-50210"/>
    <n v="-4.8396766737415976E-2"/>
  </r>
  <r>
    <s v="LG-0182"/>
    <d v="2026-10-05T00:00:00"/>
    <x v="65"/>
    <x v="2"/>
    <x v="4"/>
    <x v="1"/>
    <s v="Awka"/>
    <s v="Anambra"/>
    <s v="Enugu"/>
    <s v="Enugu"/>
    <x v="15"/>
    <x v="2"/>
    <n v="113"/>
    <n v="113"/>
    <n v="0"/>
    <x v="156"/>
    <s v="501–1,000 km"/>
    <x v="0"/>
    <n v="1466.6481149012568"/>
    <n v="3"/>
    <n v="13"/>
    <n v="10"/>
    <n v="816923"/>
    <n v="804344"/>
    <s v="Delayed"/>
    <n v="1"/>
    <n v="0"/>
    <n v="12579"/>
    <n v="1.5638831146872482E-2"/>
  </r>
  <r>
    <s v="LG-0183"/>
    <d v="2026-10-06T00:00:00"/>
    <x v="127"/>
    <x v="5"/>
    <x v="2"/>
    <x v="3"/>
    <s v="Kaduna"/>
    <s v="Kaduna"/>
    <s v="Enugu"/>
    <s v="Enugu"/>
    <x v="115"/>
    <x v="1"/>
    <n v="29"/>
    <n v="28"/>
    <n v="1"/>
    <x v="69"/>
    <s v="501–1,000 km"/>
    <x v="0"/>
    <n v="850.42318840579708"/>
    <n v="4"/>
    <n v="5"/>
    <n v="1"/>
    <n v="586792"/>
    <n v="561843"/>
    <s v="Minor Delay"/>
    <n v="1"/>
    <n v="3.4482758620689655E-2"/>
    <n v="24949"/>
    <n v="4.4405643569466913E-2"/>
  </r>
  <r>
    <s v="LG-0184"/>
    <d v="2026-10-07T00:00:00"/>
    <x v="128"/>
    <x v="1"/>
    <x v="0"/>
    <x v="1"/>
    <s v="Jos"/>
    <s v="Plateau"/>
    <s v="Enugu"/>
    <s v="Enugu"/>
    <x v="11"/>
    <x v="1"/>
    <n v="135"/>
    <n v="132"/>
    <n v="3"/>
    <x v="157"/>
    <s v="501–1,000 km"/>
    <x v="0"/>
    <n v="3442.9852941176468"/>
    <n v="5"/>
    <n v="5"/>
    <n v="0"/>
    <n v="2107107"/>
    <n v="1986135"/>
    <s v="On Time"/>
    <n v="1"/>
    <n v="2.2222222222222223E-2"/>
    <n v="120972"/>
    <n v="6.0908246418294829E-2"/>
  </r>
  <r>
    <s v="LG-0185"/>
    <d v="2026-10-08T00:00:00"/>
    <x v="129"/>
    <x v="1"/>
    <x v="2"/>
    <x v="4"/>
    <s v="Ilorin"/>
    <s v="Kwara"/>
    <s v="Abeokuta"/>
    <s v="Ogun"/>
    <x v="93"/>
    <x v="1"/>
    <n v="79"/>
    <n v="77"/>
    <n v="2"/>
    <x v="158"/>
    <s v="251–500 km"/>
    <x v="2"/>
    <n v="3841.4851485148515"/>
    <n v="5"/>
    <n v="5"/>
    <n v="0"/>
    <n v="1163970"/>
    <n v="1242670"/>
    <s v="On Time"/>
    <n v="1"/>
    <n v="2.5316455696202531E-2"/>
    <n v="-78700"/>
    <n v="-6.3331375184079441E-2"/>
  </r>
  <r>
    <s v="LG-0186"/>
    <d v="2026-10-09T00:00:00"/>
    <x v="68"/>
    <x v="4"/>
    <x v="5"/>
    <x v="2"/>
    <s v="Abeokuta"/>
    <s v="Ogun"/>
    <s v="Ibadan"/>
    <s v="Oyo"/>
    <x v="116"/>
    <x v="1"/>
    <n v="152"/>
    <n v="149"/>
    <n v="3"/>
    <x v="159"/>
    <s v="101–250 km"/>
    <x v="1"/>
    <n v="11327.675675675675"/>
    <n v="1"/>
    <n v="3"/>
    <n v="2"/>
    <n v="1676496"/>
    <n v="1636017"/>
    <s v="Minor Delay"/>
    <n v="1"/>
    <n v="1.9736842105263157E-2"/>
    <n v="40479"/>
    <n v="2.4742407933413896E-2"/>
  </r>
  <r>
    <s v="LG-0187"/>
    <d v="2026-10-10T00:00:00"/>
    <x v="130"/>
    <x v="2"/>
    <x v="1"/>
    <x v="2"/>
    <s v="Calabar"/>
    <s v="Cross River"/>
    <s v="Asaba"/>
    <s v="Delta"/>
    <x v="117"/>
    <x v="1"/>
    <n v="121"/>
    <n v="118"/>
    <n v="3"/>
    <x v="160"/>
    <s v="251–500 km"/>
    <x v="2"/>
    <n v="4997.0092024539881"/>
    <n v="2"/>
    <n v="2"/>
    <n v="0"/>
    <n v="1629025"/>
    <n v="1793102"/>
    <s v="On Time"/>
    <n v="1"/>
    <n v="2.4793388429752067E-2"/>
    <n v="-164077"/>
    <n v="-9.1504554676755695E-2"/>
  </r>
  <r>
    <s v="LG-0188"/>
    <d v="2026-10-11T00:00:00"/>
    <x v="41"/>
    <x v="5"/>
    <x v="1"/>
    <x v="1"/>
    <s v="Asaba"/>
    <s v="Delta"/>
    <s v="Enugu"/>
    <s v="Enugu"/>
    <x v="61"/>
    <x v="1"/>
    <n v="124"/>
    <n v="123"/>
    <n v="1"/>
    <x v="161"/>
    <s v="501–1,000 km"/>
    <x v="0"/>
    <n v="1803.0756013745704"/>
    <n v="4"/>
    <n v="4"/>
    <n v="0"/>
    <n v="1049390"/>
    <n v="1146891"/>
    <s v="On Time"/>
    <n v="1"/>
    <n v="8.0645161290322578E-3"/>
    <n v="-97501"/>
    <n v="-8.5013309896058126E-2"/>
  </r>
  <r>
    <s v="LG-0189"/>
    <d v="2026-10-12T00:00:00"/>
    <x v="131"/>
    <x v="0"/>
    <x v="4"/>
    <x v="2"/>
    <s v="Ilorin"/>
    <s v="Kwara"/>
    <s v="Lagos"/>
    <s v="Lagos"/>
    <x v="48"/>
    <x v="2"/>
    <n v="106"/>
    <n v="103"/>
    <n v="3"/>
    <x v="31"/>
    <s v="501–1,000 km"/>
    <x v="0"/>
    <n v="1887.5805592543275"/>
    <n v="3"/>
    <n v="3"/>
    <n v="0"/>
    <n v="1417573"/>
    <n v="1504807"/>
    <s v="On Time"/>
    <n v="1"/>
    <n v="2.8301886792452831E-2"/>
    <n v="-87234"/>
    <n v="-5.7970224753074645E-2"/>
  </r>
  <r>
    <s v="LG-0190"/>
    <d v="2026-10-13T00:00:00"/>
    <x v="40"/>
    <x v="0"/>
    <x v="3"/>
    <x v="2"/>
    <s v="Enugu"/>
    <s v="Enugu"/>
    <s v="Awka"/>
    <s v="Anambra"/>
    <x v="16"/>
    <x v="1"/>
    <n v="146"/>
    <n v="142"/>
    <n v="4"/>
    <x v="162"/>
    <s v="101–250 km"/>
    <x v="1"/>
    <n v="6094.458333333333"/>
    <n v="4"/>
    <n v="5"/>
    <n v="1"/>
    <n v="877602"/>
    <n v="902297"/>
    <s v="Minor Delay"/>
    <n v="1"/>
    <n v="2.7397260273972601E-2"/>
    <n v="-24695"/>
    <n v="-2.7369037024394405E-2"/>
  </r>
  <r>
    <s v="LG-0191"/>
    <d v="2026-10-14T00:00:00"/>
    <x v="132"/>
    <x v="3"/>
    <x v="7"/>
    <x v="2"/>
    <s v="Kano"/>
    <s v="Kano"/>
    <s v="Ilorin"/>
    <s v="Kwara"/>
    <x v="31"/>
    <x v="2"/>
    <n v="82"/>
    <n v="82"/>
    <n v="0"/>
    <x v="163"/>
    <s v="101–250 km"/>
    <x v="1"/>
    <n v="1858.3333333333333"/>
    <n v="5"/>
    <n v="5"/>
    <n v="0"/>
    <n v="457150"/>
    <n v="426474"/>
    <s v="On Time"/>
    <n v="1"/>
    <n v="0"/>
    <n v="30676"/>
    <n v="7.1929355599637965E-2"/>
  </r>
  <r>
    <s v="LG-0192"/>
    <d v="2026-10-15T00:00:00"/>
    <x v="58"/>
    <x v="3"/>
    <x v="3"/>
    <x v="4"/>
    <s v="Port Harcourt"/>
    <s v="Rivers"/>
    <s v="Awka"/>
    <s v="Anambra"/>
    <x v="118"/>
    <x v="1"/>
    <n v="153"/>
    <n v="153"/>
    <n v="0"/>
    <x v="164"/>
    <s v="251–500 km"/>
    <x v="2"/>
    <n v="6639.5902578796558"/>
    <n v="3"/>
    <n v="6"/>
    <n v="3"/>
    <n v="2317217"/>
    <n v="2409432"/>
    <s v="Minor Delay"/>
    <n v="1"/>
    <n v="0"/>
    <n v="-92215"/>
    <n v="-3.8272505719190247E-2"/>
  </r>
  <r>
    <s v="LG-0193"/>
    <d v="2026-10-16T00:00:00"/>
    <x v="55"/>
    <x v="1"/>
    <x v="1"/>
    <x v="0"/>
    <s v="Jos"/>
    <s v="Plateau"/>
    <s v="Ilorin"/>
    <s v="Kwara"/>
    <x v="111"/>
    <x v="0"/>
    <n v="69"/>
    <n v="68"/>
    <n v="1"/>
    <x v="165"/>
    <s v="0–100 km"/>
    <x v="3"/>
    <n v="26298"/>
    <n v="5"/>
    <n v="9"/>
    <n v="4"/>
    <n v="841536"/>
    <n v="846657"/>
    <s v="Delayed"/>
    <n v="1"/>
    <n v="1.4492753623188406E-2"/>
    <n v="-5121"/>
    <n v="-6.0484942544619608E-3"/>
  </r>
  <r>
    <s v="LG-0194"/>
    <d v="2026-10-17T00:00:00"/>
    <x v="133"/>
    <x v="4"/>
    <x v="2"/>
    <x v="3"/>
    <s v="Ilorin"/>
    <s v="Kwara"/>
    <s v="Umuahia"/>
    <s v="Abia"/>
    <x v="40"/>
    <x v="1"/>
    <n v="24"/>
    <n v="24"/>
    <n v="0"/>
    <x v="166"/>
    <s v="501–1,000 km"/>
    <x v="0"/>
    <n v="701.83742911153115"/>
    <n v="4"/>
    <n v="5"/>
    <n v="1"/>
    <n v="371272"/>
    <n v="359200"/>
    <s v="Minor Delay"/>
    <n v="1"/>
    <n v="0"/>
    <n v="12072"/>
    <n v="3.3608017817371938E-2"/>
  </r>
  <r>
    <s v="LG-0195"/>
    <d v="2026-10-18T00:00:00"/>
    <x v="124"/>
    <x v="4"/>
    <x v="7"/>
    <x v="0"/>
    <s v="Umuahia"/>
    <s v="Abia"/>
    <s v="Ibadan"/>
    <s v="Oyo"/>
    <x v="89"/>
    <x v="1"/>
    <n v="95"/>
    <n v="93"/>
    <n v="2"/>
    <x v="38"/>
    <s v="251–500 km"/>
    <x v="2"/>
    <n v="3794.9740259740261"/>
    <n v="3"/>
    <n v="3"/>
    <n v="0"/>
    <n v="1461065"/>
    <n v="1529473"/>
    <s v="On Time"/>
    <n v="1"/>
    <n v="2.1052631578947368E-2"/>
    <n v="-68408"/>
    <n v="-4.472651691138059E-2"/>
  </r>
  <r>
    <s v="LG-0196"/>
    <d v="2026-10-19T00:00:00"/>
    <x v="134"/>
    <x v="3"/>
    <x v="2"/>
    <x v="2"/>
    <s v="Enugu"/>
    <s v="Enugu"/>
    <s v="Kano"/>
    <s v="Kano"/>
    <x v="71"/>
    <x v="1"/>
    <n v="97"/>
    <n v="96"/>
    <n v="1"/>
    <x v="167"/>
    <s v="501–1,000 km"/>
    <x v="0"/>
    <n v="1601.8294573643411"/>
    <n v="3"/>
    <n v="10"/>
    <n v="7"/>
    <n v="1033180"/>
    <n v="991046"/>
    <s v="Delayed"/>
    <n v="1"/>
    <n v="1.0309278350515464E-2"/>
    <n v="42134"/>
    <n v="4.2514676412598408E-2"/>
  </r>
  <r>
    <s v="LG-0197"/>
    <d v="2026-10-20T00:00:00"/>
    <x v="67"/>
    <x v="5"/>
    <x v="7"/>
    <x v="2"/>
    <s v="Umuahia"/>
    <s v="Abia"/>
    <s v="Asaba"/>
    <s v="Delta"/>
    <x v="51"/>
    <x v="1"/>
    <n v="47"/>
    <n v="46"/>
    <n v="1"/>
    <x v="17"/>
    <s v="251–500 km"/>
    <x v="2"/>
    <n v="1543.7967289719627"/>
    <n v="1"/>
    <n v="1"/>
    <n v="0"/>
    <n v="660745"/>
    <n v="652665"/>
    <s v="On Time"/>
    <n v="1"/>
    <n v="2.1276595744680851E-2"/>
    <n v="8080"/>
    <n v="1.2380011184911095E-2"/>
  </r>
  <r>
    <s v="LG-0198"/>
    <d v="2026-10-21T00:00:00"/>
    <x v="93"/>
    <x v="0"/>
    <x v="1"/>
    <x v="1"/>
    <s v="Jos"/>
    <s v="Plateau"/>
    <s v="Kano"/>
    <s v="Kano"/>
    <x v="80"/>
    <x v="0"/>
    <n v="25"/>
    <n v="24"/>
    <n v="1"/>
    <x v="168"/>
    <s v="501–1,000 km"/>
    <x v="0"/>
    <n v="328.84934756820877"/>
    <n v="3"/>
    <n v="6"/>
    <n v="3"/>
    <n v="277220"/>
    <n v="256687"/>
    <s v="Minor Delay"/>
    <n v="1"/>
    <n v="0.04"/>
    <n v="20533"/>
    <n v="7.9992364241274386E-2"/>
  </r>
  <r>
    <s v="LG-0199"/>
    <d v="2026-10-22T00:00:00"/>
    <x v="5"/>
    <x v="2"/>
    <x v="0"/>
    <x v="2"/>
    <s v="Umuahia"/>
    <s v="Abia"/>
    <s v="Calabar"/>
    <s v="Cross River"/>
    <x v="101"/>
    <x v="2"/>
    <n v="23"/>
    <n v="22"/>
    <n v="1"/>
    <x v="169"/>
    <s v="251–500 km"/>
    <x v="2"/>
    <n v="944.89887640449433"/>
    <n v="2"/>
    <n v="2"/>
    <n v="0"/>
    <n v="336384"/>
    <n v="350371"/>
    <s v="On Time"/>
    <n v="1"/>
    <n v="4.3478260869565216E-2"/>
    <n v="-13987"/>
    <n v="-3.9920541369005996E-2"/>
  </r>
  <r>
    <s v="LG-0200"/>
    <d v="2026-10-23T00:00:00"/>
    <x v="60"/>
    <x v="2"/>
    <x v="0"/>
    <x v="1"/>
    <s v="Enugu"/>
    <s v="Enugu"/>
    <s v="Port Harcourt"/>
    <s v="Rivers"/>
    <x v="119"/>
    <x v="1"/>
    <n v="88"/>
    <n v="87"/>
    <n v="1"/>
    <x v="170"/>
    <s v="501–1,000 km"/>
    <x v="0"/>
    <n v="1574.0322580645161"/>
    <n v="5"/>
    <n v="8"/>
    <n v="3"/>
    <n v="1073490"/>
    <n v="1070020"/>
    <s v="Minor Delay"/>
    <n v="1"/>
    <n v="1.1363636363636364E-2"/>
    <n v="3470"/>
    <n v="3.2429300386908654E-3"/>
  </r>
  <r>
    <s v="LG-0201"/>
    <d v="2026-10-24T00:00:00"/>
    <x v="119"/>
    <x v="5"/>
    <x v="0"/>
    <x v="0"/>
    <s v="Calabar"/>
    <s v="Cross River"/>
    <s v="Awka"/>
    <s v="Anambra"/>
    <x v="120"/>
    <x v="1"/>
    <n v="126"/>
    <n v="122"/>
    <n v="4"/>
    <x v="171"/>
    <s v="501–1,000 km"/>
    <x v="0"/>
    <n v="1354.8934531450577"/>
    <n v="5"/>
    <n v="5"/>
    <n v="0"/>
    <n v="1055462"/>
    <n v="1169816"/>
    <s v="On Time"/>
    <n v="1"/>
    <n v="3.1746031746031744E-2"/>
    <n v="-114354"/>
    <n v="-9.7753834791112451E-2"/>
  </r>
  <r>
    <s v="LG-0202"/>
    <d v="2026-10-25T00:00:00"/>
    <x v="97"/>
    <x v="5"/>
    <x v="6"/>
    <x v="0"/>
    <s v="Port Harcourt"/>
    <s v="Rivers"/>
    <s v="Abeokuta"/>
    <s v="Ogun"/>
    <x v="121"/>
    <x v="1"/>
    <n v="32"/>
    <n v="31"/>
    <n v="1"/>
    <x v="172"/>
    <s v="501–1,000 km"/>
    <x v="0"/>
    <n v="612.12578616352198"/>
    <n v="6"/>
    <n v="7"/>
    <n v="1"/>
    <n v="486640"/>
    <n v="519827"/>
    <s v="Minor Delay"/>
    <n v="1"/>
    <n v="3.125E-2"/>
    <n v="-33187"/>
    <n v="-6.384239371944897E-2"/>
  </r>
  <r>
    <s v="LG-0203"/>
    <d v="2026-10-26T00:00:00"/>
    <x v="51"/>
    <x v="4"/>
    <x v="0"/>
    <x v="1"/>
    <s v="Lagos"/>
    <s v="Lagos"/>
    <s v="Jos"/>
    <s v="Plateau"/>
    <x v="122"/>
    <x v="0"/>
    <n v="49"/>
    <n v="47"/>
    <n v="2"/>
    <x v="90"/>
    <s v="251–500 km"/>
    <x v="2"/>
    <n v="2002.265091863517"/>
    <n v="3"/>
    <n v="4"/>
    <n v="1"/>
    <n v="762863"/>
    <n v="787067"/>
    <s v="Minor Delay"/>
    <n v="1"/>
    <n v="4.0816326530612242E-2"/>
    <n v="-24204"/>
    <n v="-3.0752146894737042E-2"/>
  </r>
  <r>
    <s v="LG-0204"/>
    <d v="2026-10-27T00:00:00"/>
    <x v="88"/>
    <x v="4"/>
    <x v="2"/>
    <x v="2"/>
    <s v="Abeokuta"/>
    <s v="Ogun"/>
    <s v="Ilorin"/>
    <s v="Kwara"/>
    <x v="123"/>
    <x v="0"/>
    <n v="126"/>
    <n v="125"/>
    <n v="1"/>
    <x v="173"/>
    <s v="0–100 km"/>
    <x v="3"/>
    <n v="18617.333333333332"/>
    <n v="1"/>
    <n v="2"/>
    <n v="1"/>
    <n v="1005336"/>
    <n v="1085437"/>
    <s v="Minor Delay"/>
    <n v="1"/>
    <n v="7.9365079365079361E-3"/>
    <n v="-80101"/>
    <n v="-7.3796083973551668E-2"/>
  </r>
  <r>
    <s v="LG-0205"/>
    <d v="2026-10-28T00:00:00"/>
    <x v="135"/>
    <x v="4"/>
    <x v="0"/>
    <x v="2"/>
    <s v="Calabar"/>
    <s v="Cross River"/>
    <s v="Kaduna"/>
    <s v="Kaduna"/>
    <x v="102"/>
    <x v="1"/>
    <n v="61"/>
    <n v="61"/>
    <n v="0"/>
    <x v="58"/>
    <s v="101–250 km"/>
    <x v="1"/>
    <n v="3164.4577464788731"/>
    <n v="6"/>
    <n v="6"/>
    <n v="0"/>
    <n v="449353"/>
    <n v="475272"/>
    <s v="On Time"/>
    <n v="1"/>
    <n v="0"/>
    <n v="-25919"/>
    <n v="-5.4535087276338601E-2"/>
  </r>
  <r>
    <s v="LG-0206"/>
    <d v="2026-10-29T00:00:00"/>
    <x v="136"/>
    <x v="3"/>
    <x v="6"/>
    <x v="0"/>
    <s v="Lagos"/>
    <s v="Lagos"/>
    <s v="Calabar"/>
    <s v="Cross River"/>
    <x v="58"/>
    <x v="1"/>
    <n v="150"/>
    <n v="148"/>
    <n v="2"/>
    <x v="174"/>
    <s v="251–500 km"/>
    <x v="2"/>
    <n v="3676.5801354401806"/>
    <n v="3"/>
    <n v="4"/>
    <n v="1"/>
    <n v="1628725"/>
    <n v="1692567"/>
    <s v="Minor Delay"/>
    <n v="1"/>
    <n v="1.3333333333333334E-2"/>
    <n v="-63842"/>
    <n v="-3.7719038596404159E-2"/>
  </r>
  <r>
    <s v="LG-0207"/>
    <d v="2026-10-30T00:00:00"/>
    <x v="137"/>
    <x v="5"/>
    <x v="7"/>
    <x v="1"/>
    <s v="Ilorin"/>
    <s v="Kwara"/>
    <s v="Kano"/>
    <s v="Kano"/>
    <x v="124"/>
    <x v="1"/>
    <n v="117"/>
    <n v="114"/>
    <n v="3"/>
    <x v="175"/>
    <s v="251–500 km"/>
    <x v="2"/>
    <n v="3495.6637554585154"/>
    <n v="4"/>
    <n v="4"/>
    <n v="0"/>
    <n v="1601014"/>
    <n v="1481750"/>
    <s v="On Time"/>
    <n v="1"/>
    <n v="2.564102564102564E-2"/>
    <n v="119264"/>
    <n v="8.0488611439176655E-2"/>
  </r>
  <r>
    <s v="LG-0208"/>
    <d v="2026-10-31T00:00:00"/>
    <x v="138"/>
    <x v="3"/>
    <x v="1"/>
    <x v="3"/>
    <s v="Enugu"/>
    <s v="Enugu"/>
    <s v="Minna"/>
    <s v="Niger"/>
    <x v="114"/>
    <x v="2"/>
    <n v="147"/>
    <n v="144"/>
    <n v="3"/>
    <x v="87"/>
    <s v="251–500 km"/>
    <x v="2"/>
    <n v="4920.8996282527878"/>
    <n v="1"/>
    <n v="3"/>
    <n v="2"/>
    <n v="1323722"/>
    <n v="1248571"/>
    <s v="Minor Delay"/>
    <n v="1"/>
    <n v="2.0408163265306121E-2"/>
    <n v="75151"/>
    <n v="6.0189608760735272E-2"/>
  </r>
  <r>
    <s v="LG-0209"/>
    <d v="2026-11-01T00:00:00"/>
    <x v="137"/>
    <x v="3"/>
    <x v="1"/>
    <x v="1"/>
    <s v="Abeokuta"/>
    <s v="Ogun"/>
    <s v="Awka"/>
    <s v="Anambra"/>
    <x v="13"/>
    <x v="1"/>
    <n v="130"/>
    <n v="123"/>
    <n v="7"/>
    <x v="176"/>
    <s v="501–1,000 km"/>
    <x v="0"/>
    <n v="1854.7175572519084"/>
    <n v="7"/>
    <n v="7"/>
    <n v="0"/>
    <n v="971872"/>
    <n v="1082809"/>
    <s v="On Time"/>
    <n v="1"/>
    <n v="5.3846153846153849E-2"/>
    <n v="-110937"/>
    <n v="-0.10245297185376184"/>
  </r>
  <r>
    <s v="LG-0210"/>
    <d v="2026-11-02T00:00:00"/>
    <x v="88"/>
    <x v="1"/>
    <x v="2"/>
    <x v="4"/>
    <s v="Ibadan"/>
    <s v="Oyo"/>
    <s v="Minna"/>
    <s v="Niger"/>
    <x v="108"/>
    <x v="1"/>
    <n v="89"/>
    <n v="89"/>
    <n v="0"/>
    <x v="177"/>
    <s v="251–500 km"/>
    <x v="2"/>
    <n v="3564.6560196560195"/>
    <n v="3"/>
    <n v="3"/>
    <n v="0"/>
    <n v="1450815"/>
    <n v="1575784"/>
    <s v="On Time"/>
    <n v="1"/>
    <n v="0"/>
    <n v="-124969"/>
    <n v="-7.9305920100724459E-2"/>
  </r>
  <r>
    <s v="LG-0211"/>
    <d v="2026-11-03T00:00:00"/>
    <x v="139"/>
    <x v="3"/>
    <x v="6"/>
    <x v="3"/>
    <s v="Ibadan"/>
    <s v="Oyo"/>
    <s v="Umuahia"/>
    <s v="Abia"/>
    <x v="125"/>
    <x v="1"/>
    <n v="21"/>
    <n v="20"/>
    <n v="1"/>
    <x v="178"/>
    <s v="101–250 km"/>
    <x v="1"/>
    <n v="1910.0487804878048"/>
    <n v="5"/>
    <n v="5"/>
    <n v="0"/>
    <n v="234936"/>
    <n v="245433"/>
    <s v="On Time"/>
    <n v="1"/>
    <n v="4.7619047619047616E-2"/>
    <n v="-10497"/>
    <n v="-4.2769309750522545E-2"/>
  </r>
  <r>
    <s v="LG-0212"/>
    <d v="2026-11-04T00:00:00"/>
    <x v="46"/>
    <x v="4"/>
    <x v="7"/>
    <x v="4"/>
    <s v="Benin City"/>
    <s v="Edo"/>
    <s v="Lagos"/>
    <s v="Lagos"/>
    <x v="126"/>
    <x v="1"/>
    <n v="68"/>
    <n v="66"/>
    <n v="2"/>
    <x v="179"/>
    <s v="101–250 km"/>
    <x v="1"/>
    <n v="3837.9565217391305"/>
    <n v="4"/>
    <n v="4"/>
    <n v="0"/>
    <n v="441365"/>
    <n v="469801"/>
    <s v="On Time"/>
    <n v="1"/>
    <n v="2.9411764705882353E-2"/>
    <n v="-28436"/>
    <n v="-6.0527755368762516E-2"/>
  </r>
  <r>
    <s v="LG-0213"/>
    <d v="2026-11-05T00:00:00"/>
    <x v="104"/>
    <x v="2"/>
    <x v="2"/>
    <x v="1"/>
    <s v="Asaba"/>
    <s v="Delta"/>
    <s v="Enugu"/>
    <s v="Enugu"/>
    <x v="61"/>
    <x v="1"/>
    <n v="24"/>
    <n v="23"/>
    <n v="1"/>
    <x v="161"/>
    <s v="501–1,000 km"/>
    <x v="0"/>
    <n v="517.93814432989689"/>
    <n v="2"/>
    <n v="5"/>
    <n v="3"/>
    <n v="301440"/>
    <n v="308246"/>
    <s v="Minor Delay"/>
    <n v="1"/>
    <n v="4.1666666666666664E-2"/>
    <n v="-6806"/>
    <n v="-2.2079767458458504E-2"/>
  </r>
  <r>
    <s v="LG-0214"/>
    <d v="2026-11-06T00:00:00"/>
    <x v="140"/>
    <x v="3"/>
    <x v="1"/>
    <x v="2"/>
    <s v="Lagos"/>
    <s v="Lagos"/>
    <s v="Port Harcourt"/>
    <s v="Rivers"/>
    <x v="19"/>
    <x v="1"/>
    <n v="86"/>
    <n v="85"/>
    <n v="1"/>
    <x v="180"/>
    <s v="501–1,000 km"/>
    <x v="0"/>
    <n v="1210.0191082802548"/>
    <n v="3"/>
    <n v="4"/>
    <n v="1"/>
    <n v="759892"/>
    <n v="815292"/>
    <s v="Minor Delay"/>
    <n v="1"/>
    <n v="1.1627906976744186E-2"/>
    <n v="-55400"/>
    <n v="-6.7951114447339117E-2"/>
  </r>
  <r>
    <s v="LG-0215"/>
    <d v="2026-11-07T00:00:00"/>
    <x v="141"/>
    <x v="0"/>
    <x v="0"/>
    <x v="1"/>
    <s v="Kano"/>
    <s v="Kano"/>
    <s v="Ilorin"/>
    <s v="Kwara"/>
    <x v="31"/>
    <x v="0"/>
    <n v="100"/>
    <n v="97"/>
    <n v="3"/>
    <x v="181"/>
    <s v="101–250 km"/>
    <x v="1"/>
    <n v="7602.0643274853801"/>
    <n v="3"/>
    <n v="7"/>
    <n v="4"/>
    <n v="1299953"/>
    <n v="1262526"/>
    <s v="Delayed"/>
    <n v="1"/>
    <n v="0.03"/>
    <n v="37427"/>
    <n v="2.9644538013474574E-2"/>
  </r>
  <r>
    <s v="LG-0216"/>
    <d v="2026-11-08T00:00:00"/>
    <x v="142"/>
    <x v="5"/>
    <x v="5"/>
    <x v="0"/>
    <s v="Ibadan"/>
    <s v="Oyo"/>
    <s v="Asaba"/>
    <s v="Delta"/>
    <x v="20"/>
    <x v="1"/>
    <n v="156"/>
    <n v="155"/>
    <n v="1"/>
    <x v="182"/>
    <s v="501–1,000 km"/>
    <x v="0"/>
    <n v="1854.2994746059544"/>
    <n v="2"/>
    <n v="2"/>
    <n v="0"/>
    <n v="1058805"/>
    <n v="1176850"/>
    <s v="On Time"/>
    <n v="1"/>
    <n v="6.41025641025641E-3"/>
    <n v="-118045"/>
    <n v="-0.10030590134681565"/>
  </r>
  <r>
    <s v="LG-0217"/>
    <d v="2026-11-09T00:00:00"/>
    <x v="114"/>
    <x v="5"/>
    <x v="5"/>
    <x v="2"/>
    <s v="Lagos"/>
    <s v="Lagos"/>
    <s v="Kano"/>
    <s v="Kano"/>
    <x v="99"/>
    <x v="0"/>
    <n v="40"/>
    <n v="39"/>
    <n v="1"/>
    <x v="183"/>
    <s v="0–100 km"/>
    <x v="3"/>
    <n v="11794.081632653062"/>
    <n v="1"/>
    <n v="1"/>
    <n v="0"/>
    <n v="577910"/>
    <n v="539655"/>
    <s v="On Time"/>
    <n v="1"/>
    <n v="2.5000000000000001E-2"/>
    <n v="38255"/>
    <n v="7.0887882072805775E-2"/>
  </r>
  <r>
    <s v="LG-0218"/>
    <d v="2026-11-10T00:00:00"/>
    <x v="143"/>
    <x v="3"/>
    <x v="6"/>
    <x v="0"/>
    <s v="Abeokuta"/>
    <s v="Ogun"/>
    <s v="Port Harcourt"/>
    <s v="Rivers"/>
    <x v="65"/>
    <x v="0"/>
    <n v="106"/>
    <n v="103"/>
    <n v="3"/>
    <x v="184"/>
    <s v="0–100 km"/>
    <x v="3"/>
    <n v="8707.424242424242"/>
    <n v="3"/>
    <n v="3"/>
    <n v="0"/>
    <n v="862035"/>
    <n v="812209"/>
    <s v="On Time"/>
    <n v="1"/>
    <n v="2.8301886792452831E-2"/>
    <n v="49826"/>
    <n v="6.1346279098113909E-2"/>
  </r>
  <r>
    <s v="LG-0219"/>
    <d v="2026-11-11T00:00:00"/>
    <x v="144"/>
    <x v="5"/>
    <x v="6"/>
    <x v="1"/>
    <s v="Umuahia"/>
    <s v="Abia"/>
    <s v="Ibadan"/>
    <s v="Oyo"/>
    <x v="89"/>
    <x v="1"/>
    <n v="149"/>
    <n v="149"/>
    <n v="0"/>
    <x v="112"/>
    <s v="251–500 km"/>
    <x v="2"/>
    <n v="5164.4310776942357"/>
    <n v="6"/>
    <n v="8"/>
    <n v="2"/>
    <n v="2060608"/>
    <n v="2187164"/>
    <s v="Minor Delay"/>
    <n v="1"/>
    <n v="0"/>
    <n v="-126556"/>
    <n v="-5.7863059194463697E-2"/>
  </r>
  <r>
    <s v="LG-0220"/>
    <d v="2026-11-12T00:00:00"/>
    <x v="54"/>
    <x v="1"/>
    <x v="4"/>
    <x v="0"/>
    <s v="Asaba"/>
    <s v="Delta"/>
    <s v="Umuahia"/>
    <s v="Abia"/>
    <x v="83"/>
    <x v="0"/>
    <n v="17"/>
    <n v="17"/>
    <n v="0"/>
    <x v="156"/>
    <s v="501–1,000 km"/>
    <x v="0"/>
    <n v="570.38420107719924"/>
    <n v="4"/>
    <n v="4"/>
    <n v="0"/>
    <n v="317704"/>
    <n v="318728"/>
    <s v="On Time"/>
    <n v="1"/>
    <n v="0"/>
    <n v="-1024"/>
    <n v="-3.2127707637860494E-3"/>
  </r>
  <r>
    <s v="LG-0221"/>
    <d v="2026-11-13T00:00:00"/>
    <x v="44"/>
    <x v="3"/>
    <x v="1"/>
    <x v="0"/>
    <s v="Minna"/>
    <s v="Niger"/>
    <s v="Ilorin"/>
    <s v="Kwara"/>
    <x v="96"/>
    <x v="1"/>
    <n v="118"/>
    <n v="116"/>
    <n v="2"/>
    <x v="185"/>
    <s v="0–100 km"/>
    <x v="3"/>
    <n v="34843.684210526313"/>
    <n v="4"/>
    <n v="5"/>
    <n v="1"/>
    <n v="1324060"/>
    <n v="1435952"/>
    <s v="Minor Delay"/>
    <n v="1"/>
    <n v="1.6949152542372881E-2"/>
    <n v="-111892"/>
    <n v="-7.7921824684947683E-2"/>
  </r>
  <r>
    <s v="LG-0222"/>
    <d v="2026-11-14T00:00:00"/>
    <x v="36"/>
    <x v="1"/>
    <x v="5"/>
    <x v="4"/>
    <s v="Awka"/>
    <s v="Anambra"/>
    <s v="Kaduna"/>
    <s v="Kaduna"/>
    <x v="127"/>
    <x v="1"/>
    <n v="102"/>
    <n v="98"/>
    <n v="4"/>
    <x v="52"/>
    <s v="501–1,000 km"/>
    <x v="0"/>
    <n v="2124.6923076923076"/>
    <n v="3"/>
    <n v="3"/>
    <n v="0"/>
    <n v="1408671"/>
    <n v="1409360"/>
    <s v="On Time"/>
    <n v="1"/>
    <n v="3.9215686274509803E-2"/>
    <n v="-689"/>
    <n v="-4.888743826985298E-4"/>
  </r>
  <r>
    <s v="LG-0223"/>
    <d v="2026-11-15T00:00:00"/>
    <x v="57"/>
    <x v="1"/>
    <x v="1"/>
    <x v="1"/>
    <s v="Minna"/>
    <s v="Niger"/>
    <s v="Abeokuta"/>
    <s v="Ogun"/>
    <x v="128"/>
    <x v="1"/>
    <n v="92"/>
    <n v="91"/>
    <n v="1"/>
    <x v="186"/>
    <s v="501–1,000 km"/>
    <x v="0"/>
    <n v="1692.3871733966746"/>
    <n v="4"/>
    <n v="8"/>
    <n v="4"/>
    <n v="1424990"/>
    <n v="1381335"/>
    <s v="Delayed"/>
    <n v="1"/>
    <n v="1.0869565217391304E-2"/>
    <n v="43655"/>
    <n v="3.1603485034405125E-2"/>
  </r>
  <r>
    <s v="LG-0224"/>
    <d v="2026-11-16T00:00:00"/>
    <x v="145"/>
    <x v="5"/>
    <x v="0"/>
    <x v="2"/>
    <s v="Jos"/>
    <s v="Plateau"/>
    <s v="Enugu"/>
    <s v="Enugu"/>
    <x v="11"/>
    <x v="2"/>
    <n v="147"/>
    <n v="142"/>
    <n v="5"/>
    <x v="168"/>
    <s v="501–1,000 km"/>
    <x v="0"/>
    <n v="2732.0569395017792"/>
    <n v="3"/>
    <n v="6"/>
    <n v="3"/>
    <n v="2303124"/>
    <n v="2292674"/>
    <s v="Minor Delay"/>
    <n v="1"/>
    <n v="3.4013605442176874E-2"/>
    <n v="10450"/>
    <n v="4.5579964704968957E-3"/>
  </r>
  <r>
    <s v="LG-0225"/>
    <d v="2026-11-17T00:00:00"/>
    <x v="2"/>
    <x v="4"/>
    <x v="4"/>
    <x v="2"/>
    <s v="Minna"/>
    <s v="Niger"/>
    <s v="Kaduna"/>
    <s v="Kaduna"/>
    <x v="129"/>
    <x v="1"/>
    <n v="124"/>
    <n v="123"/>
    <n v="1"/>
    <x v="187"/>
    <s v="101–250 km"/>
    <x v="1"/>
    <n v="5723.3668341708544"/>
    <n v="4"/>
    <n v="9"/>
    <n v="5"/>
    <n v="1138950"/>
    <n v="1247266"/>
    <s v="Delayed"/>
    <n v="1"/>
    <n v="8.0645161290322578E-3"/>
    <n v="-108316"/>
    <n v="-8.6842742446278501E-2"/>
  </r>
  <r>
    <s v="LG-0226"/>
    <d v="2026-11-18T00:00:00"/>
    <x v="146"/>
    <x v="5"/>
    <x v="4"/>
    <x v="0"/>
    <s v="Port Harcourt"/>
    <s v="Rivers"/>
    <s v="Jos"/>
    <s v="Plateau"/>
    <x v="130"/>
    <x v="0"/>
    <n v="41"/>
    <n v="41"/>
    <n v="0"/>
    <x v="188"/>
    <s v="501–1,000 km"/>
    <x v="0"/>
    <n v="729.47961630695443"/>
    <n v="4"/>
    <n v="5"/>
    <n v="1"/>
    <n v="608386"/>
    <n v="606575"/>
    <s v="Minor Delay"/>
    <n v="1"/>
    <n v="0"/>
    <n v="1811"/>
    <n v="2.985615958455261E-3"/>
  </r>
  <r>
    <s v="LG-0227"/>
    <d v="2026-11-19T00:00:00"/>
    <x v="147"/>
    <x v="0"/>
    <x v="3"/>
    <x v="3"/>
    <s v="Port Harcourt"/>
    <s v="Rivers"/>
    <s v="Ibadan"/>
    <s v="Oyo"/>
    <x v="131"/>
    <x v="1"/>
    <n v="17"/>
    <n v="17"/>
    <n v="0"/>
    <x v="189"/>
    <s v="101–250 km"/>
    <x v="1"/>
    <n v="1199.8376068376069"/>
    <n v="1"/>
    <n v="5"/>
    <n v="4"/>
    <n v="280762"/>
    <n v="306050"/>
    <s v="Delayed"/>
    <n v="1"/>
    <n v="0"/>
    <n v="-25288"/>
    <n v="-8.2627021728475733E-2"/>
  </r>
  <r>
    <s v="LG-0228"/>
    <d v="2026-11-20T00:00:00"/>
    <x v="98"/>
    <x v="4"/>
    <x v="6"/>
    <x v="2"/>
    <s v="Umuahia"/>
    <s v="Abia"/>
    <s v="Kaduna"/>
    <s v="Kaduna"/>
    <x v="132"/>
    <x v="1"/>
    <n v="12"/>
    <n v="12"/>
    <n v="0"/>
    <x v="132"/>
    <s v="251–500 km"/>
    <x v="2"/>
    <n v="664.94425087108016"/>
    <n v="1"/>
    <n v="1"/>
    <n v="0"/>
    <n v="190839"/>
    <n v="212769"/>
    <s v="On Time"/>
    <n v="1"/>
    <n v="0"/>
    <n v="-21930"/>
    <n v="-0.10306952610577669"/>
  </r>
  <r>
    <s v="LG-0229"/>
    <d v="2026-11-21T00:00:00"/>
    <x v="148"/>
    <x v="4"/>
    <x v="7"/>
    <x v="0"/>
    <s v="Ilorin"/>
    <s v="Kwara"/>
    <s v="Benin City"/>
    <s v="Edo"/>
    <x v="67"/>
    <x v="1"/>
    <n v="122"/>
    <n v="122"/>
    <n v="0"/>
    <x v="73"/>
    <s v="0–100 km"/>
    <x v="3"/>
    <n v="9857.2051282051289"/>
    <n v="3"/>
    <n v="3"/>
    <n v="0"/>
    <n v="768862"/>
    <n v="748501"/>
    <s v="On Time"/>
    <n v="1"/>
    <n v="0"/>
    <n v="20361"/>
    <n v="2.7202368467109595E-2"/>
  </r>
  <r>
    <s v="LG-0230"/>
    <d v="2026-11-22T00:00:00"/>
    <x v="149"/>
    <x v="4"/>
    <x v="4"/>
    <x v="3"/>
    <s v="Ibadan"/>
    <s v="Oyo"/>
    <s v="Jos"/>
    <s v="Plateau"/>
    <x v="133"/>
    <x v="0"/>
    <n v="120"/>
    <n v="120"/>
    <n v="0"/>
    <x v="190"/>
    <s v="501–1,000 km"/>
    <x v="0"/>
    <n v="3405.0714285714284"/>
    <n v="3"/>
    <n v="4"/>
    <n v="1"/>
    <n v="1906840"/>
    <n v="1952235"/>
    <s v="Minor Delay"/>
    <n v="1"/>
    <n v="0"/>
    <n v="-45395"/>
    <n v="-2.3252835852241149E-2"/>
  </r>
  <r>
    <s v="LG-0231"/>
    <d v="2026-11-23T00:00:00"/>
    <x v="135"/>
    <x v="0"/>
    <x v="2"/>
    <x v="1"/>
    <s v="Calabar"/>
    <s v="Cross River"/>
    <s v="Lagos"/>
    <s v="Lagos"/>
    <x v="134"/>
    <x v="1"/>
    <n v="138"/>
    <n v="135"/>
    <n v="3"/>
    <x v="152"/>
    <s v="251–500 km"/>
    <x v="2"/>
    <n v="3220.4554216867468"/>
    <n v="2"/>
    <n v="6"/>
    <n v="4"/>
    <n v="1336489"/>
    <n v="1307970"/>
    <s v="Delayed"/>
    <n v="1"/>
    <n v="2.1739130434782608E-2"/>
    <n v="28519"/>
    <n v="2.1804016911702868E-2"/>
  </r>
  <r>
    <s v="LG-0232"/>
    <d v="2026-11-24T00:00:00"/>
    <x v="150"/>
    <x v="2"/>
    <x v="5"/>
    <x v="3"/>
    <s v="Benin City"/>
    <s v="Edo"/>
    <s v="Ilorin"/>
    <s v="Kwara"/>
    <x v="92"/>
    <x v="1"/>
    <n v="79"/>
    <n v="76"/>
    <n v="3"/>
    <x v="191"/>
    <s v="501–1,000 km"/>
    <x v="0"/>
    <n v="1569.83125"/>
    <n v="7"/>
    <n v="11"/>
    <n v="4"/>
    <n v="1255865"/>
    <n v="1171896"/>
    <s v="Delayed"/>
    <n v="1"/>
    <n v="3.7974683544303799E-2"/>
    <n v="83969"/>
    <n v="7.1652262658119831E-2"/>
  </r>
  <r>
    <s v="LG-0233"/>
    <d v="2026-11-25T00:00:00"/>
    <x v="95"/>
    <x v="4"/>
    <x v="7"/>
    <x v="2"/>
    <s v="Umuahia"/>
    <s v="Abia"/>
    <s v="Calabar"/>
    <s v="Cross River"/>
    <x v="101"/>
    <x v="2"/>
    <n v="94"/>
    <n v="92"/>
    <n v="2"/>
    <x v="142"/>
    <s v="101–250 km"/>
    <x v="1"/>
    <n v="9876.5625"/>
    <n v="4"/>
    <n v="4"/>
    <n v="0"/>
    <n v="1264200"/>
    <n v="1361591"/>
    <s v="On Time"/>
    <n v="1"/>
    <n v="2.1276595744680851E-2"/>
    <n v="-97391"/>
    <n v="-7.1527352927567817E-2"/>
  </r>
  <r>
    <s v="LG-0234"/>
    <d v="2026-11-26T00:00:00"/>
    <x v="113"/>
    <x v="4"/>
    <x v="4"/>
    <x v="3"/>
    <s v="Lagos"/>
    <s v="Lagos"/>
    <s v="Enugu"/>
    <s v="Enugu"/>
    <x v="135"/>
    <x v="0"/>
    <n v="30"/>
    <n v="29"/>
    <n v="1"/>
    <x v="183"/>
    <s v="0–100 km"/>
    <x v="3"/>
    <n v="7815.3469387755104"/>
    <n v="2"/>
    <n v="2"/>
    <n v="0"/>
    <n v="382952"/>
    <n v="363571"/>
    <s v="On Time"/>
    <n v="1"/>
    <n v="3.3333333333333333E-2"/>
    <n v="19381"/>
    <n v="5.3307331992925727E-2"/>
  </r>
  <r>
    <s v="LG-0235"/>
    <d v="2026-11-27T00:00:00"/>
    <x v="151"/>
    <x v="2"/>
    <x v="7"/>
    <x v="1"/>
    <s v="Enugu"/>
    <s v="Enugu"/>
    <s v="Lagos"/>
    <s v="Lagos"/>
    <x v="136"/>
    <x v="1"/>
    <n v="61"/>
    <n v="61"/>
    <n v="0"/>
    <x v="192"/>
    <s v="501–1,000 km"/>
    <x v="0"/>
    <n v="1667.5111492281303"/>
    <n v="7"/>
    <n v="7"/>
    <n v="0"/>
    <n v="972159"/>
    <n v="906480"/>
    <s v="On Time"/>
    <n v="1"/>
    <n v="0"/>
    <n v="65679"/>
    <n v="7.2454990733386279E-2"/>
  </r>
  <r>
    <s v="LG-0236"/>
    <d v="2026-11-28T00:00:00"/>
    <x v="152"/>
    <x v="3"/>
    <x v="4"/>
    <x v="1"/>
    <s v="Abeokuta"/>
    <s v="Ogun"/>
    <s v="Calabar"/>
    <s v="Cross River"/>
    <x v="50"/>
    <x v="1"/>
    <n v="138"/>
    <n v="132"/>
    <n v="6"/>
    <x v="193"/>
    <s v="251–500 km"/>
    <x v="2"/>
    <n v="3695.6603773584907"/>
    <n v="4"/>
    <n v="6"/>
    <n v="2"/>
    <n v="1175220"/>
    <n v="1189243"/>
    <s v="Minor Delay"/>
    <n v="1"/>
    <n v="4.3478260869565216E-2"/>
    <n v="-14023"/>
    <n v="-1.1791534614876859E-2"/>
  </r>
  <r>
    <s v="LG-0237"/>
    <d v="2026-11-29T00:00:00"/>
    <x v="88"/>
    <x v="1"/>
    <x v="6"/>
    <x v="3"/>
    <s v="Port Harcourt"/>
    <s v="Rivers"/>
    <s v="Asaba"/>
    <s v="Delta"/>
    <x v="137"/>
    <x v="0"/>
    <n v="112"/>
    <n v="112"/>
    <n v="0"/>
    <x v="1"/>
    <s v="101–250 km"/>
    <x v="1"/>
    <n v="7888.762162162162"/>
    <n v="4"/>
    <n v="8"/>
    <n v="4"/>
    <n v="1459421"/>
    <n v="1633086"/>
    <s v="Delayed"/>
    <n v="1"/>
    <n v="0"/>
    <n v="-173665"/>
    <n v="-0.10634161336267656"/>
  </r>
  <r>
    <s v="LG-0238"/>
    <d v="2026-11-30T00:00:00"/>
    <x v="97"/>
    <x v="0"/>
    <x v="7"/>
    <x v="0"/>
    <s v="Ibadan"/>
    <s v="Oyo"/>
    <s v="Awka"/>
    <s v="Anambra"/>
    <x v="138"/>
    <x v="1"/>
    <n v="80"/>
    <n v="78"/>
    <n v="2"/>
    <x v="194"/>
    <s v="101–250 km"/>
    <x v="1"/>
    <n v="6641.9263803680979"/>
    <n v="3"/>
    <n v="10"/>
    <n v="7"/>
    <n v="1082634"/>
    <n v="1195095"/>
    <s v="Delayed"/>
    <n v="1"/>
    <n v="2.5000000000000001E-2"/>
    <n v="-112461"/>
    <n v="-9.4102142507499403E-2"/>
  </r>
  <r>
    <s v="LG-0239"/>
    <d v="2026-12-01T00:00:00"/>
    <x v="153"/>
    <x v="4"/>
    <x v="4"/>
    <x v="2"/>
    <s v="Minna"/>
    <s v="Niger"/>
    <s v="Asaba"/>
    <s v="Delta"/>
    <x v="86"/>
    <x v="0"/>
    <n v="129"/>
    <n v="125"/>
    <n v="4"/>
    <x v="195"/>
    <s v="251–500 km"/>
    <x v="2"/>
    <n v="2234"/>
    <n v="5"/>
    <n v="7"/>
    <n v="2"/>
    <n v="844452"/>
    <n v="843642"/>
    <s v="Minor Delay"/>
    <n v="1"/>
    <n v="3.1007751937984496E-2"/>
    <n v="810"/>
    <n v="9.6012289573065349E-4"/>
  </r>
  <r>
    <s v="LG-0240"/>
    <d v="2026-12-02T00:00:00"/>
    <x v="77"/>
    <x v="3"/>
    <x v="2"/>
    <x v="3"/>
    <s v="Enugu"/>
    <s v="Enugu"/>
    <s v="Kaduna"/>
    <s v="Kaduna"/>
    <x v="139"/>
    <x v="1"/>
    <n v="90"/>
    <n v="89"/>
    <n v="1"/>
    <x v="196"/>
    <s v="101–250 km"/>
    <x v="1"/>
    <n v="10021.461538461539"/>
    <n v="2"/>
    <n v="3"/>
    <n v="1"/>
    <n v="1172511"/>
    <n v="1081548"/>
    <s v="Minor Delay"/>
    <n v="1"/>
    <n v="1.1111111111111112E-2"/>
    <n v="90963"/>
    <n v="8.4104450287920643E-2"/>
  </r>
  <r>
    <s v="LG-0241"/>
    <d v="2026-12-03T00:00:00"/>
    <x v="154"/>
    <x v="3"/>
    <x v="0"/>
    <x v="0"/>
    <s v="Minna"/>
    <s v="Niger"/>
    <s v="Calabar"/>
    <s v="Cross River"/>
    <x v="24"/>
    <x v="1"/>
    <n v="108"/>
    <n v="107"/>
    <n v="1"/>
    <x v="57"/>
    <s v="251–500 km"/>
    <x v="2"/>
    <n v="3121.184971098266"/>
    <n v="1"/>
    <n v="4"/>
    <n v="3"/>
    <n v="1079930"/>
    <n v="1014140"/>
    <s v="Minor Delay"/>
    <n v="1"/>
    <n v="9.2592592592592587E-3"/>
    <n v="65790"/>
    <n v="6.4872700021693264E-2"/>
  </r>
  <r>
    <s v="LG-0242"/>
    <d v="2026-12-04T00:00:00"/>
    <x v="155"/>
    <x v="4"/>
    <x v="0"/>
    <x v="1"/>
    <s v="Ilorin"/>
    <s v="Kwara"/>
    <s v="Jos"/>
    <s v="Plateau"/>
    <x v="140"/>
    <x v="1"/>
    <n v="133"/>
    <n v="131"/>
    <n v="2"/>
    <x v="93"/>
    <s v="501–1,000 km"/>
    <x v="0"/>
    <n v="2781.9942528735633"/>
    <n v="3"/>
    <n v="8"/>
    <n v="5"/>
    <n v="1936268"/>
    <n v="1967848"/>
    <s v="Delayed"/>
    <n v="1"/>
    <n v="1.5037593984962405E-2"/>
    <n v="-31580"/>
    <n v="-1.6047987446184867E-2"/>
  </r>
  <r>
    <s v="LG-0243"/>
    <d v="2026-12-05T00:00:00"/>
    <x v="74"/>
    <x v="2"/>
    <x v="5"/>
    <x v="4"/>
    <s v="Ibadan"/>
    <s v="Oyo"/>
    <s v="Lagos"/>
    <s v="Lagos"/>
    <x v="56"/>
    <x v="1"/>
    <n v="22"/>
    <n v="21"/>
    <n v="1"/>
    <x v="197"/>
    <s v="501–1,000 km"/>
    <x v="0"/>
    <n v="895.39633286318758"/>
    <n v="4"/>
    <n v="4"/>
    <n v="0"/>
    <n v="634836"/>
    <n v="655668"/>
    <s v="On Time"/>
    <n v="1"/>
    <n v="4.5454545454545456E-2"/>
    <n v="-20832"/>
    <n v="-3.1772177382455753E-2"/>
  </r>
  <r>
    <s v="LG-0244"/>
    <d v="2026-12-06T00:00:00"/>
    <x v="156"/>
    <x v="3"/>
    <x v="2"/>
    <x v="4"/>
    <s v="Ilorin"/>
    <s v="Kwara"/>
    <s v="Kaduna"/>
    <s v="Kaduna"/>
    <x v="141"/>
    <x v="1"/>
    <n v="137"/>
    <n v="137"/>
    <n v="0"/>
    <x v="198"/>
    <s v="101–250 km"/>
    <x v="1"/>
    <n v="6752.9907834101386"/>
    <n v="5"/>
    <n v="7"/>
    <n v="2"/>
    <n v="1465399"/>
    <n v="1602199"/>
    <s v="Minor Delay"/>
    <n v="1"/>
    <n v="0"/>
    <n v="-136800"/>
    <n v="-8.5382652217358773E-2"/>
  </r>
  <r>
    <s v="LG-0245"/>
    <d v="2026-12-07T00:00:00"/>
    <x v="157"/>
    <x v="4"/>
    <x v="4"/>
    <x v="0"/>
    <s v="Enugu"/>
    <s v="Enugu"/>
    <s v="Kano"/>
    <s v="Kano"/>
    <x v="71"/>
    <x v="0"/>
    <n v="119"/>
    <n v="114"/>
    <n v="5"/>
    <x v="13"/>
    <s v="251–500 km"/>
    <x v="2"/>
    <n v="1906.5737704918033"/>
    <n v="3"/>
    <n v="3"/>
    <n v="0"/>
    <n v="814107"/>
    <n v="819008"/>
    <s v="On Time"/>
    <n v="1"/>
    <n v="4.2016806722689079E-2"/>
    <n v="-4901"/>
    <n v="-5.984068531687114E-3"/>
  </r>
  <r>
    <s v="LG-0246"/>
    <d v="2026-12-08T00:00:00"/>
    <x v="158"/>
    <x v="1"/>
    <x v="1"/>
    <x v="1"/>
    <s v="Ilorin"/>
    <s v="Kwara"/>
    <s v="Umuahia"/>
    <s v="Abia"/>
    <x v="40"/>
    <x v="0"/>
    <n v="116"/>
    <n v="115"/>
    <n v="1"/>
    <x v="0"/>
    <s v="501–1,000 km"/>
    <x v="0"/>
    <n v="2119.5101721439751"/>
    <n v="3"/>
    <n v="3"/>
    <n v="0"/>
    <n v="1354367"/>
    <n v="1325990"/>
    <s v="On Time"/>
    <n v="1"/>
    <n v="8.6206896551724137E-3"/>
    <n v="28377"/>
    <n v="2.140061388094933E-2"/>
  </r>
  <r>
    <s v="LG-0247"/>
    <d v="2026-12-09T00:00:00"/>
    <x v="159"/>
    <x v="1"/>
    <x v="3"/>
    <x v="4"/>
    <s v="Kano"/>
    <s v="Kano"/>
    <s v="Calabar"/>
    <s v="Cross River"/>
    <x v="12"/>
    <x v="1"/>
    <n v="28"/>
    <n v="28"/>
    <n v="0"/>
    <x v="199"/>
    <s v="0–100 km"/>
    <x v="3"/>
    <n v="5379"/>
    <n v="5"/>
    <n v="8"/>
    <n v="3"/>
    <n v="150612"/>
    <n v="152518"/>
    <s v="Minor Delay"/>
    <n v="1"/>
    <n v="0"/>
    <n v="-1906"/>
    <n v="-1.2496885613501357E-2"/>
  </r>
  <r>
    <s v="LG-0248"/>
    <d v="2026-12-10T00:00:00"/>
    <x v="65"/>
    <x v="0"/>
    <x v="4"/>
    <x v="3"/>
    <s v="Jos"/>
    <s v="Plateau"/>
    <s v="Awka"/>
    <s v="Anambra"/>
    <x v="7"/>
    <x v="0"/>
    <n v="139"/>
    <n v="135"/>
    <n v="4"/>
    <x v="0"/>
    <s v="501–1,000 km"/>
    <x v="0"/>
    <n v="2131.3896713615022"/>
    <n v="3"/>
    <n v="5"/>
    <n v="2"/>
    <n v="1361958"/>
    <n v="1372167"/>
    <s v="Minor Delay"/>
    <n v="1"/>
    <n v="2.8776978417266189E-2"/>
    <n v="-10209"/>
    <n v="-7.4400564945811994E-3"/>
  </r>
  <r>
    <s v="LG-0249"/>
    <d v="2026-12-11T00:00:00"/>
    <x v="119"/>
    <x v="5"/>
    <x v="4"/>
    <x v="3"/>
    <s v="Awka"/>
    <s v="Anambra"/>
    <s v="Asaba"/>
    <s v="Delta"/>
    <x v="142"/>
    <x v="1"/>
    <n v="91"/>
    <n v="90"/>
    <n v="1"/>
    <x v="47"/>
    <s v="251–500 km"/>
    <x v="2"/>
    <n v="2504.9666666666667"/>
    <n v="5"/>
    <n v="9"/>
    <n v="4"/>
    <n v="826639"/>
    <n v="878323"/>
    <s v="Delayed"/>
    <n v="1"/>
    <n v="1.098901098901099E-2"/>
    <n v="-51684"/>
    <n v="-5.8843956038951505E-2"/>
  </r>
  <r>
    <s v="LG-0250"/>
    <d v="2026-12-12T00:00:00"/>
    <x v="146"/>
    <x v="1"/>
    <x v="3"/>
    <x v="1"/>
    <s v="Kaduna"/>
    <s v="Kaduna"/>
    <s v="Kano"/>
    <s v="Kano"/>
    <x v="32"/>
    <x v="0"/>
    <n v="20"/>
    <n v="20"/>
    <n v="0"/>
    <x v="92"/>
    <s v="501–1,000 km"/>
    <x v="0"/>
    <n v="442.27731092436977"/>
    <n v="3"/>
    <n v="4"/>
    <n v="1"/>
    <n v="263155"/>
    <n v="250908"/>
    <s v="Minor Delay"/>
    <n v="1"/>
    <n v="0"/>
    <n v="12247"/>
    <n v="4.8810719466896232E-2"/>
  </r>
  <r>
    <s v="LG-0251"/>
    <d v="2026-12-13T00:00:00"/>
    <x v="29"/>
    <x v="5"/>
    <x v="7"/>
    <x v="2"/>
    <s v="Minna"/>
    <s v="Niger"/>
    <s v="Asaba"/>
    <s v="Delta"/>
    <x v="86"/>
    <x v="1"/>
    <n v="157"/>
    <n v="157"/>
    <n v="0"/>
    <x v="200"/>
    <s v="501–1,000 km"/>
    <x v="0"/>
    <n v="2209.1502276176025"/>
    <n v="4"/>
    <n v="4"/>
    <n v="0"/>
    <n v="1455830"/>
    <n v="1545651"/>
    <s v="On Time"/>
    <n v="1"/>
    <n v="0"/>
    <n v="-89821"/>
    <n v="-5.8112083516912938E-2"/>
  </r>
  <r>
    <s v="LG-0252"/>
    <d v="2026-12-14T00:00:00"/>
    <x v="144"/>
    <x v="4"/>
    <x v="0"/>
    <x v="1"/>
    <s v="Calabar"/>
    <s v="Cross River"/>
    <s v="Kaduna"/>
    <s v="Kaduna"/>
    <x v="102"/>
    <x v="1"/>
    <n v="85"/>
    <n v="84"/>
    <n v="1"/>
    <x v="201"/>
    <s v="251–500 km"/>
    <x v="2"/>
    <n v="1218.1538461538462"/>
    <n v="5"/>
    <n v="9"/>
    <n v="4"/>
    <n v="538424"/>
    <n v="532538"/>
    <s v="Delayed"/>
    <n v="1"/>
    <n v="1.1764705882352941E-2"/>
    <n v="5886"/>
    <n v="1.1052732387172371E-2"/>
  </r>
  <r>
    <s v="LG-0253"/>
    <d v="2026-12-15T00:00:00"/>
    <x v="13"/>
    <x v="1"/>
    <x v="7"/>
    <x v="0"/>
    <s v="Lagos"/>
    <s v="Lagos"/>
    <s v="Calabar"/>
    <s v="Cross River"/>
    <x v="58"/>
    <x v="0"/>
    <n v="69"/>
    <n v="68"/>
    <n v="1"/>
    <x v="202"/>
    <s v="251–500 km"/>
    <x v="2"/>
    <n v="1243.8493975903614"/>
    <n v="5"/>
    <n v="6"/>
    <n v="1"/>
    <n v="619437"/>
    <n v="617855"/>
    <s v="Minor Delay"/>
    <n v="1"/>
    <n v="1.4492753623188406E-2"/>
    <n v="1582"/>
    <n v="2.5604713079929757E-3"/>
  </r>
  <r>
    <s v="LG-0254"/>
    <d v="2026-12-16T00:00:00"/>
    <x v="160"/>
    <x v="0"/>
    <x v="1"/>
    <x v="1"/>
    <s v="Umuahia"/>
    <s v="Abia"/>
    <s v="Kaduna"/>
    <s v="Kaduna"/>
    <x v="132"/>
    <x v="1"/>
    <n v="138"/>
    <n v="135"/>
    <n v="3"/>
    <x v="203"/>
    <s v="101–250 km"/>
    <x v="1"/>
    <n v="5276.375"/>
    <n v="4"/>
    <n v="5"/>
    <n v="1"/>
    <n v="1013064"/>
    <n v="1029731"/>
    <s v="Minor Delay"/>
    <n v="1"/>
    <n v="2.1739130434782608E-2"/>
    <n v="-16667"/>
    <n v="-1.6185780558223457E-2"/>
  </r>
  <r>
    <s v="LG-0255"/>
    <d v="2026-12-17T00:00:00"/>
    <x v="161"/>
    <x v="2"/>
    <x v="6"/>
    <x v="1"/>
    <s v="Awka"/>
    <s v="Anambra"/>
    <s v="Enugu"/>
    <s v="Enugu"/>
    <x v="15"/>
    <x v="2"/>
    <n v="155"/>
    <n v="153"/>
    <n v="2"/>
    <x v="204"/>
    <s v="501–1,000 km"/>
    <x v="0"/>
    <n v="2707.5743494423791"/>
    <n v="6"/>
    <n v="6"/>
    <n v="0"/>
    <n v="1456675"/>
    <n v="1486250"/>
    <s v="On Time"/>
    <n v="1"/>
    <n v="1.2903225806451613E-2"/>
    <n v="-29575"/>
    <n v="-1.9899074852817493E-2"/>
  </r>
  <r>
    <s v="LG-0256"/>
    <d v="2026-12-18T00:00:00"/>
    <x v="162"/>
    <x v="4"/>
    <x v="7"/>
    <x v="4"/>
    <s v="Ibadan"/>
    <s v="Oyo"/>
    <s v="Abeokuta"/>
    <s v="Ogun"/>
    <x v="143"/>
    <x v="1"/>
    <n v="16"/>
    <n v="16"/>
    <n v="0"/>
    <x v="205"/>
    <s v="101–250 km"/>
    <x v="1"/>
    <n v="1044.8266666666666"/>
    <n v="2"/>
    <n v="2"/>
    <n v="0"/>
    <n v="156724"/>
    <n v="173493"/>
    <s v="On Time"/>
    <n v="1"/>
    <n v="0"/>
    <n v="-16769"/>
    <n v="-9.6655196463257889E-2"/>
  </r>
  <r>
    <s v="LG-0257"/>
    <d v="2026-12-19T00:00:00"/>
    <x v="163"/>
    <x v="0"/>
    <x v="4"/>
    <x v="1"/>
    <s v="Asaba"/>
    <s v="Delta"/>
    <s v="Kano"/>
    <s v="Kano"/>
    <x v="18"/>
    <x v="1"/>
    <n v="23"/>
    <n v="22"/>
    <n v="1"/>
    <x v="206"/>
    <s v="501–1,000 km"/>
    <x v="0"/>
    <n v="860.42666666666662"/>
    <n v="3"/>
    <n v="3"/>
    <n v="0"/>
    <n v="645320"/>
    <n v="600997"/>
    <s v="On Time"/>
    <n v="1"/>
    <n v="4.3478260869565216E-2"/>
    <n v="44323"/>
    <n v="7.3749120211914529E-2"/>
  </r>
  <r>
    <s v="LG-0258"/>
    <d v="2026-12-20T00:00:00"/>
    <x v="164"/>
    <x v="2"/>
    <x v="7"/>
    <x v="0"/>
    <s v="Asaba"/>
    <s v="Delta"/>
    <s v="Umuahia"/>
    <s v="Abia"/>
    <x v="83"/>
    <x v="2"/>
    <n v="109"/>
    <n v="107"/>
    <n v="2"/>
    <x v="207"/>
    <s v="501–1,000 km"/>
    <x v="0"/>
    <n v="2960.0236087689714"/>
    <n v="3"/>
    <n v="3"/>
    <n v="0"/>
    <n v="1755294"/>
    <n v="1772887"/>
    <s v="On Time"/>
    <n v="1"/>
    <n v="1.834862385321101E-2"/>
    <n v="-17593"/>
    <n v="-9.9233622898695743E-3"/>
  </r>
  <r>
    <s v="LG-0259"/>
    <d v="2026-12-21T00:00:00"/>
    <x v="6"/>
    <x v="2"/>
    <x v="1"/>
    <x v="1"/>
    <s v="Benin City"/>
    <s v="Edo"/>
    <s v="Awka"/>
    <s v="Anambra"/>
    <x v="106"/>
    <x v="0"/>
    <n v="75"/>
    <n v="73"/>
    <n v="2"/>
    <x v="208"/>
    <s v="251–500 km"/>
    <x v="2"/>
    <n v="2454.0364963503648"/>
    <n v="4"/>
    <n v="4"/>
    <n v="0"/>
    <n v="1008609"/>
    <n v="1077226"/>
    <s v="On Time"/>
    <n v="1"/>
    <n v="2.6666666666666668E-2"/>
    <n v="-68617"/>
    <n v="-6.3697868413870443E-2"/>
  </r>
  <r>
    <s v="LG-0260"/>
    <d v="2026-12-22T00:00:00"/>
    <x v="26"/>
    <x v="0"/>
    <x v="1"/>
    <x v="1"/>
    <s v="Umuahia"/>
    <s v="Abia"/>
    <s v="Calabar"/>
    <s v="Cross River"/>
    <x v="101"/>
    <x v="1"/>
    <n v="152"/>
    <n v="145"/>
    <n v="7"/>
    <x v="209"/>
    <s v="101–250 km"/>
    <x v="1"/>
    <n v="9790.30303030303"/>
    <n v="1"/>
    <n v="1"/>
    <n v="0"/>
    <n v="1292320"/>
    <n v="1331962"/>
    <s v="On Time"/>
    <n v="1"/>
    <n v="4.6052631578947366E-2"/>
    <n v="-39642"/>
    <n v="-2.9762110330474892E-2"/>
  </r>
  <r>
    <s v="LG-0261"/>
    <d v="2026-12-23T00:00:00"/>
    <x v="152"/>
    <x v="0"/>
    <x v="2"/>
    <x v="0"/>
    <s v="Minna"/>
    <s v="Niger"/>
    <s v="Jos"/>
    <s v="Plateau"/>
    <x v="144"/>
    <x v="1"/>
    <n v="104"/>
    <n v="101"/>
    <n v="3"/>
    <x v="76"/>
    <s v="0–100 km"/>
    <x v="3"/>
    <n v="9247"/>
    <n v="4"/>
    <n v="5"/>
    <n v="1"/>
    <n v="767501"/>
    <n v="839046"/>
    <s v="Minor Delay"/>
    <n v="1"/>
    <n v="2.8846153846153848E-2"/>
    <n v="-71545"/>
    <n v="-8.5269460792376101E-2"/>
  </r>
  <r>
    <s v="LG-0262"/>
    <d v="2026-12-24T00:00:00"/>
    <x v="78"/>
    <x v="4"/>
    <x v="3"/>
    <x v="4"/>
    <s v="Port Harcourt"/>
    <s v="Rivers"/>
    <s v="Jos"/>
    <s v="Plateau"/>
    <x v="130"/>
    <x v="2"/>
    <n v="72"/>
    <n v="70"/>
    <n v="2"/>
    <x v="210"/>
    <s v="0–100 km"/>
    <x v="3"/>
    <n v="12632.838709677419"/>
    <n v="3"/>
    <n v="3"/>
    <n v="0"/>
    <n v="391618"/>
    <n v="395554"/>
    <s v="On Time"/>
    <n v="1"/>
    <n v="2.7777777777777776E-2"/>
    <n v="-3936"/>
    <n v="-9.9506009293294975E-3"/>
  </r>
  <r>
    <s v="LG-0263"/>
    <d v="2026-12-25T00:00:00"/>
    <x v="68"/>
    <x v="5"/>
    <x v="3"/>
    <x v="1"/>
    <s v="Port Harcourt"/>
    <s v="Rivers"/>
    <s v="Minna"/>
    <s v="Niger"/>
    <x v="145"/>
    <x v="0"/>
    <n v="149"/>
    <n v="146"/>
    <n v="3"/>
    <x v="211"/>
    <s v="251–500 km"/>
    <x v="2"/>
    <n v="2592.2944162436547"/>
    <n v="4"/>
    <n v="11"/>
    <n v="7"/>
    <n v="1021364"/>
    <n v="1006461"/>
    <s v="Delayed"/>
    <n v="1"/>
    <n v="2.0134228187919462E-2"/>
    <n v="14903"/>
    <n v="1.4807329841891538E-2"/>
  </r>
  <r>
    <s v="LG-0264"/>
    <d v="2026-12-26T00:00:00"/>
    <x v="165"/>
    <x v="1"/>
    <x v="3"/>
    <x v="4"/>
    <s v="Minna"/>
    <s v="Niger"/>
    <s v="Ibadan"/>
    <s v="Oyo"/>
    <x v="82"/>
    <x v="1"/>
    <n v="43"/>
    <n v="42"/>
    <n v="1"/>
    <x v="55"/>
    <s v="251–500 km"/>
    <x v="2"/>
    <n v="1665.1043256997455"/>
    <n v="4"/>
    <n v="5"/>
    <n v="1"/>
    <n v="654386"/>
    <n v="698717"/>
    <s v="Minor Delay"/>
    <n v="1"/>
    <n v="2.3255813953488372E-2"/>
    <n v="-44331"/>
    <n v="-6.3446287982115795E-2"/>
  </r>
  <r>
    <s v="LG-0265"/>
    <d v="2026-12-27T00:00:00"/>
    <x v="93"/>
    <x v="5"/>
    <x v="2"/>
    <x v="1"/>
    <s v="Enugu"/>
    <s v="Enugu"/>
    <s v="Abeokuta"/>
    <s v="Ogun"/>
    <x v="110"/>
    <x v="0"/>
    <n v="66"/>
    <n v="66"/>
    <n v="0"/>
    <x v="212"/>
    <s v="251–500 km"/>
    <x v="2"/>
    <n v="1589.8934911242604"/>
    <n v="3"/>
    <n v="3"/>
    <n v="0"/>
    <n v="537384"/>
    <n v="558320"/>
    <s v="On Time"/>
    <n v="1"/>
    <n v="0"/>
    <n v="-20936"/>
    <n v="-3.749820891245164E-2"/>
  </r>
  <r>
    <s v="LG-0266"/>
    <d v="2026-12-28T00:00:00"/>
    <x v="117"/>
    <x v="1"/>
    <x v="4"/>
    <x v="2"/>
    <s v="Calabar"/>
    <s v="Cross River"/>
    <s v="Umuahia"/>
    <s v="Abia"/>
    <x v="6"/>
    <x v="1"/>
    <n v="124"/>
    <n v="124"/>
    <n v="0"/>
    <x v="213"/>
    <s v="501–1,000 km"/>
    <x v="0"/>
    <n v="1384.4114832535886"/>
    <n v="3"/>
    <n v="4"/>
    <n v="1"/>
    <n v="868026"/>
    <n v="958433"/>
    <s v="Minor Delay"/>
    <n v="1"/>
    <n v="0"/>
    <n v="-90407"/>
    <n v="-9.4327929025816104E-2"/>
  </r>
  <r>
    <s v="LG-0267"/>
    <d v="2026-12-29T00:00:00"/>
    <x v="86"/>
    <x v="4"/>
    <x v="1"/>
    <x v="4"/>
    <s v="Awka"/>
    <s v="Anambra"/>
    <s v="Lagos"/>
    <s v="Lagos"/>
    <x v="35"/>
    <x v="1"/>
    <n v="89"/>
    <n v="88"/>
    <n v="1"/>
    <x v="214"/>
    <s v="501–1,000 km"/>
    <x v="0"/>
    <n v="1679.4231738035264"/>
    <n v="6"/>
    <n v="6"/>
    <n v="0"/>
    <n v="1333462"/>
    <n v="1293027"/>
    <s v="On Time"/>
    <n v="1"/>
    <n v="1.1235955056179775E-2"/>
    <n v="40435"/>
    <n v="3.1271582109267636E-2"/>
  </r>
  <r>
    <s v="LG-0268"/>
    <d v="2026-12-30T00:00:00"/>
    <x v="19"/>
    <x v="3"/>
    <x v="1"/>
    <x v="3"/>
    <s v="Calabar"/>
    <s v="Cross River"/>
    <s v="Awka"/>
    <s v="Anambra"/>
    <x v="120"/>
    <x v="1"/>
    <n v="143"/>
    <n v="137"/>
    <n v="6"/>
    <x v="215"/>
    <s v="501–1,000 km"/>
    <x v="0"/>
    <n v="2701.4182825484763"/>
    <n v="5"/>
    <n v="5"/>
    <n v="0"/>
    <n v="1950424"/>
    <n v="1911823"/>
    <s v="On Time"/>
    <n v="1"/>
    <n v="4.195804195804196E-2"/>
    <n v="38601"/>
    <n v="2.0190676647367459E-2"/>
  </r>
  <r>
    <s v="LG-0269"/>
    <d v="2026-12-31T00:00:00"/>
    <x v="103"/>
    <x v="2"/>
    <x v="4"/>
    <x v="1"/>
    <s v="Awka"/>
    <s v="Anambra"/>
    <s v="Calabar"/>
    <s v="Cross River"/>
    <x v="146"/>
    <x v="2"/>
    <n v="125"/>
    <n v="120"/>
    <n v="5"/>
    <x v="216"/>
    <s v="251–500 km"/>
    <x v="2"/>
    <n v="2062.6112469437653"/>
    <n v="5"/>
    <n v="5"/>
    <n v="0"/>
    <n v="843608"/>
    <n v="794996"/>
    <s v="On Time"/>
    <n v="1"/>
    <n v="0.04"/>
    <n v="48612"/>
    <n v="6.1147477471584763E-2"/>
  </r>
  <r>
    <s v="LG-0270"/>
    <d v="2027-01-01T00:00:00"/>
    <x v="89"/>
    <x v="1"/>
    <x v="0"/>
    <x v="4"/>
    <s v="Umuahia"/>
    <s v="Abia"/>
    <s v="Calabar"/>
    <s v="Cross River"/>
    <x v="101"/>
    <x v="1"/>
    <n v="133"/>
    <n v="130"/>
    <n v="3"/>
    <x v="128"/>
    <s v="101–250 km"/>
    <x v="1"/>
    <n v="4635.5954545454542"/>
    <n v="3"/>
    <n v="6"/>
    <n v="3"/>
    <n v="1019831"/>
    <n v="1028664"/>
    <s v="Minor Delay"/>
    <n v="1"/>
    <n v="2.2556390977443608E-2"/>
    <n v="-8833"/>
    <n v="-8.5868660709425039E-3"/>
  </r>
  <r>
    <s v="LG-0271"/>
    <d v="2027-01-02T00:00:00"/>
    <x v="166"/>
    <x v="1"/>
    <x v="3"/>
    <x v="4"/>
    <s v="Calabar"/>
    <s v="Cross River"/>
    <s v="Minna"/>
    <s v="Niger"/>
    <x v="2"/>
    <x v="1"/>
    <n v="50"/>
    <n v="50"/>
    <n v="0"/>
    <x v="217"/>
    <s v="501–1,000 km"/>
    <x v="0"/>
    <n v="1668.0774647887324"/>
    <n v="6"/>
    <n v="9"/>
    <n v="3"/>
    <n v="947468"/>
    <n v="1020680"/>
    <s v="Minor Delay"/>
    <n v="1"/>
    <n v="0"/>
    <n v="-73212"/>
    <n v="-7.1728651487243791E-2"/>
  </r>
  <r>
    <s v="LG-0272"/>
    <d v="2027-01-03T00:00:00"/>
    <x v="153"/>
    <x v="1"/>
    <x v="4"/>
    <x v="2"/>
    <s v="Umuahia"/>
    <s v="Abia"/>
    <s v="Jos"/>
    <s v="Plateau"/>
    <x v="147"/>
    <x v="0"/>
    <n v="154"/>
    <n v="148"/>
    <n v="6"/>
    <x v="123"/>
    <s v="251–500 km"/>
    <x v="2"/>
    <n v="1797.9265033407573"/>
    <n v="4"/>
    <n v="5"/>
    <n v="1"/>
    <n v="807269"/>
    <n v="881338"/>
    <s v="Minor Delay"/>
    <n v="1"/>
    <n v="3.896103896103896E-2"/>
    <n v="-74069"/>
    <n v="-8.4041536845115047E-2"/>
  </r>
  <r>
    <s v="LG-0273"/>
    <d v="2027-01-04T00:00:00"/>
    <x v="167"/>
    <x v="4"/>
    <x v="5"/>
    <x v="2"/>
    <s v="Umuahia"/>
    <s v="Abia"/>
    <s v="Calabar"/>
    <s v="Cross River"/>
    <x v="101"/>
    <x v="1"/>
    <n v="120"/>
    <n v="117"/>
    <n v="3"/>
    <x v="218"/>
    <s v="501–1,000 km"/>
    <x v="0"/>
    <n v="1977.2716763005781"/>
    <n v="3"/>
    <n v="5"/>
    <n v="2"/>
    <n v="1026204"/>
    <n v="1032280"/>
    <s v="Minor Delay"/>
    <n v="1"/>
    <n v="2.5000000000000001E-2"/>
    <n v="-6076"/>
    <n v="-5.8859999225016465E-3"/>
  </r>
  <r>
    <s v="LG-0274"/>
    <d v="2027-01-05T00:00:00"/>
    <x v="110"/>
    <x v="5"/>
    <x v="7"/>
    <x v="1"/>
    <s v="Port Harcourt"/>
    <s v="Rivers"/>
    <s v="Lagos"/>
    <s v="Lagos"/>
    <x v="79"/>
    <x v="1"/>
    <n v="126"/>
    <n v="123"/>
    <n v="3"/>
    <x v="121"/>
    <s v="501–1,000 km"/>
    <x v="0"/>
    <n v="2963"/>
    <n v="2"/>
    <n v="6"/>
    <n v="4"/>
    <n v="1997062"/>
    <n v="1884593"/>
    <s v="Delayed"/>
    <n v="1"/>
    <n v="2.3809523809523808E-2"/>
    <n v="112469"/>
    <n v="5.9678137401550362E-2"/>
  </r>
  <r>
    <s v="LG-0275"/>
    <d v="2027-01-06T00:00:00"/>
    <x v="103"/>
    <x v="3"/>
    <x v="5"/>
    <x v="0"/>
    <s v="Asaba"/>
    <s v="Delta"/>
    <s v="Calabar"/>
    <s v="Cross River"/>
    <x v="87"/>
    <x v="0"/>
    <n v="141"/>
    <n v="140"/>
    <n v="1"/>
    <x v="187"/>
    <s v="101–250 km"/>
    <x v="1"/>
    <n v="6164.145728643216"/>
    <n v="7"/>
    <n v="8"/>
    <n v="1"/>
    <n v="1226665"/>
    <n v="1342331"/>
    <s v="Minor Delay"/>
    <n v="1"/>
    <n v="7.0921985815602835E-3"/>
    <n v="-115666"/>
    <n v="-8.6168016681429538E-2"/>
  </r>
  <r>
    <s v="LG-0276"/>
    <d v="2027-01-07T00:00:00"/>
    <x v="103"/>
    <x v="2"/>
    <x v="3"/>
    <x v="4"/>
    <s v="Ibadan"/>
    <s v="Oyo"/>
    <s v="Umuahia"/>
    <s v="Abia"/>
    <x v="125"/>
    <x v="1"/>
    <n v="52"/>
    <n v="50"/>
    <n v="2"/>
    <x v="219"/>
    <s v="251–500 km"/>
    <x v="2"/>
    <n v="1538.6564551422318"/>
    <n v="4"/>
    <n v="5"/>
    <n v="1"/>
    <n v="703166"/>
    <n v="694335"/>
    <s v="Minor Delay"/>
    <n v="1"/>
    <n v="3.8461538461538464E-2"/>
    <n v="8831"/>
    <n v="1.2718644458366639E-2"/>
  </r>
  <r>
    <s v="LG-0277"/>
    <d v="2027-01-08T00:00:00"/>
    <x v="151"/>
    <x v="3"/>
    <x v="0"/>
    <x v="1"/>
    <s v="Benin City"/>
    <s v="Edo"/>
    <s v="Minna"/>
    <s v="Niger"/>
    <x v="43"/>
    <x v="1"/>
    <n v="107"/>
    <n v="104"/>
    <n v="3"/>
    <x v="220"/>
    <s v="501–1,000 km"/>
    <x v="0"/>
    <n v="984.13491124260349"/>
    <n v="4"/>
    <n v="7"/>
    <n v="3"/>
    <n v="831594"/>
    <n v="866743"/>
    <s v="Minor Delay"/>
    <n v="1"/>
    <n v="2.8037383177570093E-2"/>
    <n v="-35149"/>
    <n v="-4.0552966681011555E-2"/>
  </r>
  <r>
    <s v="LG-0278"/>
    <d v="2027-01-09T00:00:00"/>
    <x v="39"/>
    <x v="5"/>
    <x v="2"/>
    <x v="1"/>
    <s v="Minna"/>
    <s v="Niger"/>
    <s v="Awka"/>
    <s v="Anambra"/>
    <x v="113"/>
    <x v="0"/>
    <n v="124"/>
    <n v="120"/>
    <n v="4"/>
    <x v="221"/>
    <s v="501–1,000 km"/>
    <x v="0"/>
    <n v="1470.8867924528302"/>
    <n v="1"/>
    <n v="3"/>
    <n v="2"/>
    <n v="1247312"/>
    <n v="1352432"/>
    <s v="Minor Delay"/>
    <n v="1"/>
    <n v="3.2258064516129031E-2"/>
    <n v="-105120"/>
    <n v="-7.7726643557679789E-2"/>
  </r>
  <r>
    <s v="LG-0279"/>
    <d v="2027-01-10T00:00:00"/>
    <x v="168"/>
    <x v="4"/>
    <x v="4"/>
    <x v="3"/>
    <s v="Asaba"/>
    <s v="Delta"/>
    <s v="Jos"/>
    <s v="Plateau"/>
    <x v="77"/>
    <x v="1"/>
    <n v="19"/>
    <n v="19"/>
    <n v="0"/>
    <x v="194"/>
    <s v="101–250 km"/>
    <x v="1"/>
    <n v="1542.2883435582821"/>
    <n v="3"/>
    <n v="3"/>
    <n v="0"/>
    <n v="251393"/>
    <n v="250780"/>
    <s v="On Time"/>
    <n v="1"/>
    <n v="0"/>
    <n v="613"/>
    <n v="2.444373554509929E-3"/>
  </r>
  <r>
    <s v="LG-0280"/>
    <d v="2027-01-11T00:00:00"/>
    <x v="67"/>
    <x v="5"/>
    <x v="1"/>
    <x v="1"/>
    <s v="Ilorin"/>
    <s v="Kwara"/>
    <s v="Jos"/>
    <s v="Plateau"/>
    <x v="140"/>
    <x v="1"/>
    <n v="49"/>
    <n v="47"/>
    <n v="2"/>
    <x v="222"/>
    <s v="251–500 km"/>
    <x v="2"/>
    <n v="1283.682451253482"/>
    <n v="1"/>
    <n v="1"/>
    <n v="0"/>
    <n v="460842"/>
    <n v="510847"/>
    <s v="On Time"/>
    <n v="1"/>
    <n v="4.0816326530612242E-2"/>
    <n v="-50005"/>
    <n v="-9.7886451324956394E-2"/>
  </r>
  <r>
    <s v="LG-0281"/>
    <d v="2027-01-12T00:00:00"/>
    <x v="169"/>
    <x v="2"/>
    <x v="7"/>
    <x v="2"/>
    <s v="Asaba"/>
    <s v="Delta"/>
    <s v="Port Harcourt"/>
    <s v="Rivers"/>
    <x v="94"/>
    <x v="1"/>
    <n v="136"/>
    <n v="132"/>
    <n v="4"/>
    <x v="223"/>
    <s v="501–1,000 km"/>
    <x v="0"/>
    <n v="3655.6591337099812"/>
    <n v="4"/>
    <n v="6"/>
    <n v="2"/>
    <n v="1941155"/>
    <n v="1803456"/>
    <s v="Minor Delay"/>
    <n v="1"/>
    <n v="2.9411764705882353E-2"/>
    <n v="137699"/>
    <n v="7.6352846978246208E-2"/>
  </r>
  <r>
    <s v="LG-0282"/>
    <d v="2027-01-13T00:00:00"/>
    <x v="170"/>
    <x v="3"/>
    <x v="7"/>
    <x v="0"/>
    <s v="Jos"/>
    <s v="Plateau"/>
    <s v="Awka"/>
    <s v="Anambra"/>
    <x v="7"/>
    <x v="0"/>
    <n v="52"/>
    <n v="51"/>
    <n v="1"/>
    <x v="224"/>
    <s v="251–500 km"/>
    <x v="2"/>
    <n v="1521.5011547344111"/>
    <n v="5"/>
    <n v="8"/>
    <n v="3"/>
    <n v="658810"/>
    <n v="683016"/>
    <s v="Minor Delay"/>
    <n v="1"/>
    <n v="1.9230769230769232E-2"/>
    <n v="-24206"/>
    <n v="-3.5439872565210771E-2"/>
  </r>
  <r>
    <s v="LG-0283"/>
    <d v="2027-01-14T00:00:00"/>
    <x v="57"/>
    <x v="5"/>
    <x v="0"/>
    <x v="0"/>
    <s v="Ilorin"/>
    <s v="Kwara"/>
    <s v="Lagos"/>
    <s v="Lagos"/>
    <x v="48"/>
    <x v="0"/>
    <n v="33"/>
    <n v="32"/>
    <n v="1"/>
    <x v="92"/>
    <s v="501–1,000 km"/>
    <x v="0"/>
    <n v="750.03193277310925"/>
    <n v="4"/>
    <n v="5"/>
    <n v="1"/>
    <n v="446269"/>
    <n v="427969"/>
    <s v="Minor Delay"/>
    <n v="1"/>
    <n v="3.0303030303030304E-2"/>
    <n v="18300"/>
    <n v="4.2760106456308754E-2"/>
  </r>
  <r>
    <s v="LG-0284"/>
    <d v="2027-01-15T00:00:00"/>
    <x v="54"/>
    <x v="5"/>
    <x v="3"/>
    <x v="4"/>
    <s v="Ilorin"/>
    <s v="Kwara"/>
    <s v="Minna"/>
    <s v="Niger"/>
    <x v="68"/>
    <x v="1"/>
    <n v="80"/>
    <n v="78"/>
    <n v="2"/>
    <x v="225"/>
    <s v="501–1,000 km"/>
    <x v="0"/>
    <n v="1326.328611898017"/>
    <n v="4"/>
    <n v="6"/>
    <n v="2"/>
    <n v="936388"/>
    <n v="994964"/>
    <s v="Minor Delay"/>
    <n v="1"/>
    <n v="2.5000000000000001E-2"/>
    <n v="-58576"/>
    <n v="-5.8872481818437655E-2"/>
  </r>
  <r>
    <s v="LG-0285"/>
    <d v="2027-01-16T00:00:00"/>
    <x v="28"/>
    <x v="0"/>
    <x v="6"/>
    <x v="2"/>
    <s v="Enugu"/>
    <s v="Enugu"/>
    <s v="Abeokuta"/>
    <s v="Ogun"/>
    <x v="110"/>
    <x v="1"/>
    <n v="143"/>
    <n v="141"/>
    <n v="2"/>
    <x v="226"/>
    <s v="101–250 km"/>
    <x v="1"/>
    <n v="6392.6190476190477"/>
    <n v="6"/>
    <n v="8"/>
    <n v="2"/>
    <n v="1476695"/>
    <n v="1531234"/>
    <s v="Minor Delay"/>
    <n v="1"/>
    <n v="1.3986013986013986E-2"/>
    <n v="-54539"/>
    <n v="-3.5617678290842551E-2"/>
  </r>
  <r>
    <s v="LG-0286"/>
    <d v="2027-01-17T00:00:00"/>
    <x v="171"/>
    <x v="5"/>
    <x v="2"/>
    <x v="0"/>
    <s v="Port Harcourt"/>
    <s v="Rivers"/>
    <s v="Asaba"/>
    <s v="Delta"/>
    <x v="137"/>
    <x v="1"/>
    <n v="65"/>
    <n v="65"/>
    <n v="0"/>
    <x v="227"/>
    <s v="101–250 km"/>
    <x v="1"/>
    <n v="4812.9411764705883"/>
    <n v="4"/>
    <n v="6"/>
    <n v="2"/>
    <n v="736380"/>
    <n v="745675"/>
    <s v="Minor Delay"/>
    <n v="1"/>
    <n v="0"/>
    <n v="-9295"/>
    <n v="-1.2465216079391156E-2"/>
  </r>
  <r>
    <s v="LG-0287"/>
    <d v="2027-01-18T00:00:00"/>
    <x v="85"/>
    <x v="0"/>
    <x v="0"/>
    <x v="4"/>
    <s v="Kaduna"/>
    <s v="Kaduna"/>
    <s v="Benin City"/>
    <s v="Edo"/>
    <x v="104"/>
    <x v="1"/>
    <n v="123"/>
    <n v="122"/>
    <n v="1"/>
    <x v="228"/>
    <s v="251–500 km"/>
    <x v="2"/>
    <n v="3340.9780219780218"/>
    <n v="5"/>
    <n v="5"/>
    <n v="0"/>
    <n v="1216116"/>
    <n v="1208417"/>
    <s v="On Time"/>
    <n v="1"/>
    <n v="8.130081300813009E-3"/>
    <n v="7699"/>
    <n v="6.3711450600248097E-3"/>
  </r>
  <r>
    <s v="LG-0288"/>
    <d v="2027-01-19T00:00:00"/>
    <x v="50"/>
    <x v="3"/>
    <x v="4"/>
    <x v="4"/>
    <s v="Ibadan"/>
    <s v="Oyo"/>
    <s v="Calabar"/>
    <s v="Cross River"/>
    <x v="97"/>
    <x v="1"/>
    <n v="138"/>
    <n v="136"/>
    <n v="2"/>
    <x v="111"/>
    <s v="101–250 km"/>
    <x v="1"/>
    <n v="4295.9709543568461"/>
    <n v="4"/>
    <n v="8"/>
    <n v="4"/>
    <n v="1035329"/>
    <n v="1136401"/>
    <s v="Delayed"/>
    <n v="1"/>
    <n v="1.4492753623188406E-2"/>
    <n v="-101072"/>
    <n v="-8.8940435638476201E-2"/>
  </r>
  <r>
    <s v="LG-0289"/>
    <d v="2027-01-20T00:00:00"/>
    <x v="3"/>
    <x v="5"/>
    <x v="1"/>
    <x v="4"/>
    <s v="Asaba"/>
    <s v="Delta"/>
    <s v="Abeokuta"/>
    <s v="Ogun"/>
    <x v="69"/>
    <x v="1"/>
    <n v="129"/>
    <n v="126"/>
    <n v="3"/>
    <x v="229"/>
    <s v="501–1,000 km"/>
    <x v="0"/>
    <n v="1981.314393939394"/>
    <n v="5"/>
    <n v="8"/>
    <n v="3"/>
    <n v="1569201"/>
    <n v="1703101"/>
    <s v="Minor Delay"/>
    <n v="1"/>
    <n v="2.3255813953488372E-2"/>
    <n v="-133900"/>
    <n v="-7.8621291397280607E-2"/>
  </r>
  <r>
    <s v="LG-0290"/>
    <d v="2027-01-21T00:00:00"/>
    <x v="172"/>
    <x v="2"/>
    <x v="3"/>
    <x v="3"/>
    <s v="Umuahia"/>
    <s v="Abia"/>
    <s v="Lagos"/>
    <s v="Lagos"/>
    <x v="148"/>
    <x v="0"/>
    <n v="52"/>
    <n v="50"/>
    <n v="2"/>
    <x v="230"/>
    <s v="501–1,000 km"/>
    <x v="0"/>
    <n v="963"/>
    <n v="1"/>
    <n v="1"/>
    <n v="0"/>
    <n v="505575"/>
    <n v="466583"/>
    <s v="On Time"/>
    <n v="1"/>
    <n v="3.8461538461538464E-2"/>
    <n v="38992"/>
    <n v="8.3569268490279333E-2"/>
  </r>
  <r>
    <s v="LG-0291"/>
    <d v="2027-01-22T00:00:00"/>
    <x v="147"/>
    <x v="1"/>
    <x v="2"/>
    <x v="1"/>
    <s v="Kaduna"/>
    <s v="Kaduna"/>
    <s v="Calabar"/>
    <s v="Cross River"/>
    <x v="149"/>
    <x v="1"/>
    <n v="89"/>
    <n v="86"/>
    <n v="3"/>
    <x v="231"/>
    <s v="101–250 km"/>
    <x v="1"/>
    <n v="2937.9395973154365"/>
    <n v="1"/>
    <n v="6"/>
    <n v="5"/>
    <n v="437753"/>
    <n v="458618"/>
    <s v="Delayed"/>
    <n v="1"/>
    <n v="3.3707865168539325E-2"/>
    <n v="-20865"/>
    <n v="-4.5495379596963051E-2"/>
  </r>
  <r>
    <s v="LG-0292"/>
    <d v="2027-01-23T00:00:00"/>
    <x v="130"/>
    <x v="2"/>
    <x v="2"/>
    <x v="2"/>
    <s v="Kaduna"/>
    <s v="Kaduna"/>
    <s v="Kano"/>
    <s v="Kano"/>
    <x v="32"/>
    <x v="0"/>
    <n v="63"/>
    <n v="61"/>
    <n v="2"/>
    <x v="232"/>
    <s v="501–1,000 km"/>
    <x v="0"/>
    <n v="1520.3049403747871"/>
    <n v="6"/>
    <n v="6"/>
    <n v="0"/>
    <n v="892419"/>
    <n v="909222"/>
    <s v="On Time"/>
    <n v="1"/>
    <n v="3.1746031746031744E-2"/>
    <n v="-16803"/>
    <n v="-1.8480635092419675E-2"/>
  </r>
  <r>
    <s v="LG-0293"/>
    <d v="2027-01-24T00:00:00"/>
    <x v="72"/>
    <x v="1"/>
    <x v="7"/>
    <x v="0"/>
    <s v="Port Harcourt"/>
    <s v="Rivers"/>
    <s v="Enugu"/>
    <s v="Enugu"/>
    <x v="54"/>
    <x v="0"/>
    <n v="59"/>
    <n v="56"/>
    <n v="3"/>
    <x v="233"/>
    <s v="501–1,000 km"/>
    <x v="0"/>
    <n v="1171.5334261838441"/>
    <n v="3"/>
    <n v="5"/>
    <n v="2"/>
    <n v="841161"/>
    <n v="802022"/>
    <s v="Minor Delay"/>
    <n v="1"/>
    <n v="5.0847457627118647E-2"/>
    <n v="39139"/>
    <n v="4.8800406971379835E-2"/>
  </r>
  <r>
    <s v="LG-0294"/>
    <d v="2027-01-25T00:00:00"/>
    <x v="169"/>
    <x v="0"/>
    <x v="5"/>
    <x v="3"/>
    <s v="Asaba"/>
    <s v="Delta"/>
    <s v="Ibadan"/>
    <s v="Oyo"/>
    <x v="44"/>
    <x v="0"/>
    <n v="147"/>
    <n v="144"/>
    <n v="3"/>
    <x v="234"/>
    <s v="501–1,000 km"/>
    <x v="0"/>
    <n v="3707.9171875000002"/>
    <n v="4"/>
    <n v="5"/>
    <n v="1"/>
    <n v="2373067"/>
    <n v="2500149"/>
    <s v="Minor Delay"/>
    <n v="1"/>
    <n v="2.0408163265306121E-2"/>
    <n v="-127082"/>
    <n v="-5.082977054567548E-2"/>
  </r>
  <r>
    <s v="LG-0295"/>
    <d v="2027-01-26T00:00:00"/>
    <x v="173"/>
    <x v="2"/>
    <x v="0"/>
    <x v="2"/>
    <s v="Abeokuta"/>
    <s v="Ogun"/>
    <s v="Lagos"/>
    <s v="Lagos"/>
    <x v="150"/>
    <x v="0"/>
    <n v="44"/>
    <n v="43"/>
    <n v="1"/>
    <x v="58"/>
    <s v="101–250 km"/>
    <x v="1"/>
    <n v="3199.0845070422533"/>
    <n v="2"/>
    <n v="2"/>
    <n v="0"/>
    <n v="454270"/>
    <n v="500624"/>
    <s v="On Time"/>
    <n v="1"/>
    <n v="2.2727272727272728E-2"/>
    <n v="-46354"/>
    <n v="-9.2592444629102877E-2"/>
  </r>
  <r>
    <s v="LG-0296"/>
    <d v="2027-01-27T00:00:00"/>
    <x v="116"/>
    <x v="4"/>
    <x v="2"/>
    <x v="1"/>
    <s v="Asaba"/>
    <s v="Delta"/>
    <s v="Abeokuta"/>
    <s v="Ogun"/>
    <x v="69"/>
    <x v="1"/>
    <n v="112"/>
    <n v="110"/>
    <n v="2"/>
    <x v="235"/>
    <s v="501–1,000 km"/>
    <x v="0"/>
    <n v="1743.9880239520958"/>
    <n v="1"/>
    <n v="3"/>
    <n v="2"/>
    <n v="1456230"/>
    <n v="1463026"/>
    <s v="Minor Delay"/>
    <n v="1"/>
    <n v="1.7857142857142856E-2"/>
    <n v="-6796"/>
    <n v="-4.6451669348323271E-3"/>
  </r>
  <r>
    <s v="LG-0297"/>
    <d v="2027-01-28T00:00:00"/>
    <x v="174"/>
    <x v="3"/>
    <x v="7"/>
    <x v="3"/>
    <s v="Kaduna"/>
    <s v="Kaduna"/>
    <s v="Umuahia"/>
    <s v="Abia"/>
    <x v="66"/>
    <x v="1"/>
    <n v="92"/>
    <n v="90"/>
    <n v="2"/>
    <x v="236"/>
    <s v="251–500 km"/>
    <x v="2"/>
    <n v="3550.4285714285716"/>
    <n v="6"/>
    <n v="6"/>
    <n v="0"/>
    <n v="994120"/>
    <n v="1112865"/>
    <s v="On Time"/>
    <n v="1"/>
    <n v="2.1739130434782608E-2"/>
    <n v="-118745"/>
    <n v="-0.10670207078127177"/>
  </r>
  <r>
    <s v="LG-0298"/>
    <d v="2027-01-29T00:00:00"/>
    <x v="12"/>
    <x v="4"/>
    <x v="5"/>
    <x v="0"/>
    <s v="Awka"/>
    <s v="Anambra"/>
    <s v="Kaduna"/>
    <s v="Kaduna"/>
    <x v="127"/>
    <x v="0"/>
    <n v="68"/>
    <n v="67"/>
    <n v="1"/>
    <x v="188"/>
    <s v="501–1,000 km"/>
    <x v="0"/>
    <n v="1662.1774580335732"/>
    <n v="7"/>
    <n v="10"/>
    <n v="3"/>
    <n v="1386256"/>
    <n v="1428364"/>
    <s v="Minor Delay"/>
    <n v="1"/>
    <n v="1.4705882352941176E-2"/>
    <n v="-42108"/>
    <n v="-2.9479880478645498E-2"/>
  </r>
  <r>
    <s v="LG-0299"/>
    <d v="2027-01-30T00:00:00"/>
    <x v="99"/>
    <x v="0"/>
    <x v="6"/>
    <x v="4"/>
    <s v="Enugu"/>
    <s v="Enugu"/>
    <s v="Ilorin"/>
    <s v="Kwara"/>
    <x v="29"/>
    <x v="0"/>
    <n v="56"/>
    <n v="56"/>
    <n v="0"/>
    <x v="237"/>
    <s v="501–1,000 km"/>
    <x v="0"/>
    <n v="1005.2032218091698"/>
    <n v="3"/>
    <n v="3"/>
    <n v="0"/>
    <n v="811199"/>
    <n v="904174"/>
    <s v="On Time"/>
    <n v="1"/>
    <n v="0"/>
    <n v="-92975"/>
    <n v="-0.10282865908553"/>
  </r>
  <r>
    <s v="LG-0300"/>
    <d v="2027-01-31T00:00:00"/>
    <x v="175"/>
    <x v="2"/>
    <x v="6"/>
    <x v="0"/>
    <s v="Port Harcourt"/>
    <s v="Rivers"/>
    <s v="Kano"/>
    <s v="Kano"/>
    <x v="151"/>
    <x v="0"/>
    <n v="129"/>
    <n v="127"/>
    <n v="2"/>
    <x v="238"/>
    <s v="0–100 km"/>
    <x v="3"/>
    <n v="30341.864864864863"/>
    <n v="5"/>
    <n v="5"/>
    <n v="0"/>
    <n v="1122649"/>
    <n v="1071033"/>
    <s v="On Time"/>
    <n v="1"/>
    <n v="1.5503875968992248E-2"/>
    <n v="51616"/>
    <n v="4.819272608780494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2D9EAD-6268-405A-8064-04FD02BAC83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31">
    <pivotField showAll="0"/>
    <pivotField numFmtId="14" showAll="0"/>
    <pivotField numFmtId="14" showAll="0">
      <items count="177">
        <item x="42"/>
        <item x="81"/>
        <item x="69"/>
        <item x="3"/>
        <item x="153"/>
        <item x="50"/>
        <item x="17"/>
        <item x="20"/>
        <item x="51"/>
        <item x="156"/>
        <item x="52"/>
        <item x="29"/>
        <item x="19"/>
        <item x="75"/>
        <item x="146"/>
        <item x="131"/>
        <item x="106"/>
        <item x="76"/>
        <item x="172"/>
        <item x="72"/>
        <item x="116"/>
        <item x="80"/>
        <item x="58"/>
        <item x="24"/>
        <item x="93"/>
        <item x="55"/>
        <item x="59"/>
        <item x="129"/>
        <item x="5"/>
        <item x="161"/>
        <item x="67"/>
        <item x="91"/>
        <item x="94"/>
        <item x="99"/>
        <item x="138"/>
        <item x="13"/>
        <item x="151"/>
        <item x="97"/>
        <item x="65"/>
        <item x="109"/>
        <item x="166"/>
        <item x="163"/>
        <item x="12"/>
        <item x="112"/>
        <item x="175"/>
        <item x="6"/>
        <item x="122"/>
        <item x="169"/>
        <item x="114"/>
        <item x="127"/>
        <item x="96"/>
        <item x="84"/>
        <item x="82"/>
        <item x="105"/>
        <item x="77"/>
        <item x="120"/>
        <item x="18"/>
        <item x="124"/>
        <item x="89"/>
        <item x="71"/>
        <item x="113"/>
        <item x="132"/>
        <item x="60"/>
        <item x="49"/>
        <item x="165"/>
        <item x="0"/>
        <item x="88"/>
        <item x="28"/>
        <item x="125"/>
        <item x="57"/>
        <item x="46"/>
        <item x="74"/>
        <item x="43"/>
        <item x="100"/>
        <item x="135"/>
        <item x="23"/>
        <item x="8"/>
        <item x="92"/>
        <item x="139"/>
        <item x="63"/>
        <item x="47"/>
        <item x="173"/>
        <item x="27"/>
        <item x="62"/>
        <item x="40"/>
        <item x="83"/>
        <item x="95"/>
        <item x="45"/>
        <item x="48"/>
        <item x="144"/>
        <item x="110"/>
        <item x="70"/>
        <item x="103"/>
        <item x="149"/>
        <item x="4"/>
        <item x="160"/>
        <item x="118"/>
        <item x="108"/>
        <item x="142"/>
        <item x="7"/>
        <item x="115"/>
        <item x="101"/>
        <item x="107"/>
        <item x="130"/>
        <item x="39"/>
        <item x="79"/>
        <item x="14"/>
        <item x="164"/>
        <item x="136"/>
        <item x="64"/>
        <item x="87"/>
        <item x="133"/>
        <item x="30"/>
        <item x="1"/>
        <item x="32"/>
        <item x="36"/>
        <item x="126"/>
        <item x="121"/>
        <item x="15"/>
        <item x="170"/>
        <item x="145"/>
        <item x="90"/>
        <item x="167"/>
        <item x="68"/>
        <item x="38"/>
        <item x="119"/>
        <item x="98"/>
        <item x="154"/>
        <item x="111"/>
        <item x="117"/>
        <item x="141"/>
        <item x="157"/>
        <item x="56"/>
        <item x="66"/>
        <item x="34"/>
        <item x="10"/>
        <item x="86"/>
        <item x="123"/>
        <item x="155"/>
        <item x="11"/>
        <item x="16"/>
        <item x="174"/>
        <item x="25"/>
        <item x="33"/>
        <item x="159"/>
        <item x="128"/>
        <item x="168"/>
        <item x="61"/>
        <item x="44"/>
        <item x="137"/>
        <item x="143"/>
        <item x="162"/>
        <item x="102"/>
        <item x="85"/>
        <item x="22"/>
        <item x="150"/>
        <item x="140"/>
        <item x="134"/>
        <item x="31"/>
        <item x="41"/>
        <item x="158"/>
        <item x="73"/>
        <item x="37"/>
        <item x="2"/>
        <item x="21"/>
        <item x="152"/>
        <item x="26"/>
        <item x="9"/>
        <item x="53"/>
        <item x="35"/>
        <item x="54"/>
        <item x="104"/>
        <item x="148"/>
        <item x="78"/>
        <item x="147"/>
        <item x="171"/>
        <item t="default"/>
      </items>
    </pivotField>
    <pivotField showAll="0">
      <items count="7">
        <item x="2"/>
        <item x="1"/>
        <item x="4"/>
        <item x="0"/>
        <item x="3"/>
        <item x="5"/>
        <item t="default"/>
      </items>
    </pivotField>
    <pivotField showAll="0"/>
    <pivotField axis="axisRow" showAll="0" sortType="descending">
      <items count="6">
        <item x="4"/>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numFmtId="1" showAll="0"/>
    <pivotField showAll="0"/>
    <pivotField showAll="0"/>
    <pivotField showAll="0"/>
    <pivotField showAll="0"/>
    <pivotField showAll="0"/>
    <pivotField showAll="0"/>
    <pivotField dataField="1" showAll="0"/>
    <pivotField numFmtId="10"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v="4"/>
    </i>
    <i>
      <x v="1"/>
    </i>
    <i>
      <x/>
    </i>
    <i>
      <x v="2"/>
    </i>
    <i>
      <x v="3"/>
    </i>
    <i t="grand">
      <x/>
    </i>
  </rowItems>
  <colItems count="1">
    <i/>
  </colItems>
  <dataFields count="1">
    <dataField name="Average of On_Time_Flag" fld="25" subtotal="average" baseField="5" baseItem="0" numFmtId="9"/>
  </dataFields>
  <formats count="1">
    <format dxfId="2">
      <pivotArea outline="0" collapsedLevelsAreSubtotals="1" fieldPosition="0"/>
    </format>
  </formats>
  <chartFormats count="7">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4"/>
          </reference>
        </references>
      </pivotArea>
    </chartFormat>
    <chartFormat chart="7" format="4">
      <pivotArea type="data" outline="0" fieldPosition="0">
        <references count="2">
          <reference field="4294967294" count="1" selected="0">
            <x v="0"/>
          </reference>
          <reference field="5" count="1" selected="0">
            <x v="1"/>
          </reference>
        </references>
      </pivotArea>
    </chartFormat>
    <chartFormat chart="7" format="5">
      <pivotArea type="data" outline="0" fieldPosition="0">
        <references count="2">
          <reference field="4294967294" count="1" selected="0">
            <x v="0"/>
          </reference>
          <reference field="5" count="1" selected="0">
            <x v="0"/>
          </reference>
        </references>
      </pivotArea>
    </chartFormat>
    <chartFormat chart="7" format="6">
      <pivotArea type="data" outline="0" fieldPosition="0">
        <references count="2">
          <reference field="4294967294" count="1" selected="0">
            <x v="0"/>
          </reference>
          <reference field="5" count="1" selected="0">
            <x v="2"/>
          </reference>
        </references>
      </pivotArea>
    </chartFormat>
    <chartFormat chart="7" format="7">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95C672-1A76-4B4D-85F8-5FF4C38785E8}"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43:N283" firstHeaderRow="1" firstDataRow="1" firstDataCol="1"/>
  <pivotFields count="31">
    <pivotField showAll="0"/>
    <pivotField numFmtId="14" showAll="0"/>
    <pivotField numFmtId="14" showAll="0">
      <items count="177">
        <item x="42"/>
        <item x="81"/>
        <item x="69"/>
        <item x="3"/>
        <item x="153"/>
        <item x="50"/>
        <item x="17"/>
        <item x="20"/>
        <item x="51"/>
        <item x="156"/>
        <item x="52"/>
        <item x="29"/>
        <item x="19"/>
        <item x="75"/>
        <item x="146"/>
        <item x="131"/>
        <item x="106"/>
        <item x="76"/>
        <item x="172"/>
        <item x="72"/>
        <item x="116"/>
        <item x="80"/>
        <item x="58"/>
        <item x="24"/>
        <item x="93"/>
        <item x="55"/>
        <item x="59"/>
        <item x="129"/>
        <item x="5"/>
        <item x="161"/>
        <item x="67"/>
        <item x="91"/>
        <item x="94"/>
        <item x="99"/>
        <item x="138"/>
        <item x="13"/>
        <item x="151"/>
        <item x="97"/>
        <item x="65"/>
        <item x="109"/>
        <item x="166"/>
        <item x="163"/>
        <item x="12"/>
        <item x="112"/>
        <item x="175"/>
        <item x="6"/>
        <item x="122"/>
        <item x="169"/>
        <item x="114"/>
        <item x="127"/>
        <item x="96"/>
        <item x="84"/>
        <item x="82"/>
        <item x="105"/>
        <item x="77"/>
        <item x="120"/>
        <item x="18"/>
        <item x="124"/>
        <item x="89"/>
        <item x="71"/>
        <item x="113"/>
        <item x="132"/>
        <item x="60"/>
        <item x="49"/>
        <item x="165"/>
        <item x="0"/>
        <item x="88"/>
        <item x="28"/>
        <item x="125"/>
        <item x="57"/>
        <item x="46"/>
        <item x="74"/>
        <item x="43"/>
        <item x="100"/>
        <item x="135"/>
        <item x="23"/>
        <item x="8"/>
        <item x="92"/>
        <item x="139"/>
        <item x="63"/>
        <item x="47"/>
        <item x="173"/>
        <item x="27"/>
        <item x="62"/>
        <item x="40"/>
        <item x="83"/>
        <item x="95"/>
        <item x="45"/>
        <item x="48"/>
        <item x="144"/>
        <item x="110"/>
        <item x="70"/>
        <item x="103"/>
        <item x="149"/>
        <item x="4"/>
        <item x="160"/>
        <item x="118"/>
        <item x="108"/>
        <item x="142"/>
        <item x="7"/>
        <item x="115"/>
        <item x="101"/>
        <item x="107"/>
        <item x="130"/>
        <item x="39"/>
        <item x="79"/>
        <item x="14"/>
        <item x="164"/>
        <item x="136"/>
        <item x="64"/>
        <item x="87"/>
        <item x="133"/>
        <item x="30"/>
        <item x="1"/>
        <item x="32"/>
        <item x="36"/>
        <item x="126"/>
        <item x="121"/>
        <item x="15"/>
        <item x="170"/>
        <item x="145"/>
        <item x="90"/>
        <item x="167"/>
        <item x="68"/>
        <item x="38"/>
        <item x="119"/>
        <item x="98"/>
        <item x="154"/>
        <item x="111"/>
        <item x="117"/>
        <item x="141"/>
        <item x="157"/>
        <item x="56"/>
        <item x="66"/>
        <item x="34"/>
        <item x="10"/>
        <item x="86"/>
        <item x="123"/>
        <item x="155"/>
        <item x="11"/>
        <item x="16"/>
        <item x="174"/>
        <item x="25"/>
        <item x="33"/>
        <item x="159"/>
        <item x="128"/>
        <item x="168"/>
        <item x="61"/>
        <item x="44"/>
        <item x="137"/>
        <item x="143"/>
        <item x="162"/>
        <item x="102"/>
        <item x="85"/>
        <item x="22"/>
        <item x="150"/>
        <item x="140"/>
        <item x="134"/>
        <item x="31"/>
        <item x="41"/>
        <item x="158"/>
        <item x="73"/>
        <item x="37"/>
        <item x="2"/>
        <item x="21"/>
        <item x="152"/>
        <item x="26"/>
        <item x="9"/>
        <item x="53"/>
        <item x="35"/>
        <item x="54"/>
        <item x="104"/>
        <item x="148"/>
        <item x="78"/>
        <item x="147"/>
        <item x="171"/>
        <item t="default"/>
      </items>
    </pivotField>
    <pivotField showAll="0">
      <items count="7">
        <item x="2"/>
        <item x="1"/>
        <item x="4"/>
        <item x="0"/>
        <item x="3"/>
        <item x="5"/>
        <item t="default"/>
      </items>
    </pivotField>
    <pivotField showAll="0"/>
    <pivotField showAll="0">
      <items count="6">
        <item x="4"/>
        <item x="0"/>
        <item x="3"/>
        <item x="2"/>
        <item x="1"/>
        <item t="default"/>
      </items>
    </pivotField>
    <pivotField showAll="0"/>
    <pivotField showAll="0"/>
    <pivotField showAll="0"/>
    <pivotField showAll="0"/>
    <pivotField showAll="0"/>
    <pivotField showAll="0"/>
    <pivotField showAll="0"/>
    <pivotField showAll="0"/>
    <pivotField showAll="0"/>
    <pivotField axis="axisRow" showAll="0">
      <items count="240">
        <item x="45"/>
        <item x="119"/>
        <item x="199"/>
        <item x="210"/>
        <item x="165"/>
        <item x="66"/>
        <item x="83"/>
        <item x="238"/>
        <item x="185"/>
        <item x="71"/>
        <item x="150"/>
        <item x="97"/>
        <item x="183"/>
        <item x="153"/>
        <item x="173"/>
        <item x="110"/>
        <item x="9"/>
        <item x="117"/>
        <item x="7"/>
        <item x="5"/>
        <item x="73"/>
        <item x="72"/>
        <item x="76"/>
        <item x="109"/>
        <item x="129"/>
        <item x="51"/>
        <item x="147"/>
        <item x="184"/>
        <item x="115"/>
        <item x="130"/>
        <item x="179"/>
        <item x="196"/>
        <item x="178"/>
        <item x="142"/>
        <item x="136"/>
        <item x="209"/>
        <item x="77"/>
        <item x="49"/>
        <item x="94"/>
        <item x="101"/>
        <item x="58"/>
        <item x="162"/>
        <item x="159"/>
        <item x="231"/>
        <item x="205"/>
        <item x="22"/>
        <item x="227"/>
        <item x="19"/>
        <item x="48"/>
        <item x="194"/>
        <item x="35"/>
        <item x="113"/>
        <item x="43"/>
        <item x="181"/>
        <item x="15"/>
        <item x="18"/>
        <item x="144"/>
        <item x="1"/>
        <item x="203"/>
        <item x="187"/>
        <item x="41"/>
        <item x="145"/>
        <item x="107"/>
        <item x="198"/>
        <item x="128"/>
        <item x="63"/>
        <item x="226"/>
        <item x="125"/>
        <item x="189"/>
        <item x="138"/>
        <item x="65"/>
        <item x="111"/>
        <item x="8"/>
        <item x="163"/>
        <item x="102"/>
        <item x="140"/>
        <item x="143"/>
        <item x="100"/>
        <item x="155"/>
        <item x="89"/>
        <item x="87"/>
        <item x="42"/>
        <item x="131"/>
        <item x="236"/>
        <item x="40"/>
        <item x="75"/>
        <item x="132"/>
        <item x="96"/>
        <item x="95"/>
        <item x="158"/>
        <item x="108"/>
        <item x="193"/>
        <item x="62"/>
        <item x="160"/>
        <item x="25"/>
        <item x="47"/>
        <item x="212"/>
        <item x="57"/>
        <item x="67"/>
        <item x="164"/>
        <item x="74"/>
        <item x="169"/>
        <item x="222"/>
        <item x="228"/>
        <item x="70"/>
        <item x="91"/>
        <item x="26"/>
        <item x="195"/>
        <item x="90"/>
        <item x="11"/>
        <item x="38"/>
        <item x="148"/>
        <item x="3"/>
        <item x="55"/>
        <item x="211"/>
        <item x="112"/>
        <item x="154"/>
        <item x="88"/>
        <item x="124"/>
        <item x="177"/>
        <item x="216"/>
        <item x="208"/>
        <item x="103"/>
        <item x="152"/>
        <item x="27"/>
        <item x="118"/>
        <item x="149"/>
        <item x="13"/>
        <item x="17"/>
        <item x="224"/>
        <item x="64"/>
        <item x="201"/>
        <item x="174"/>
        <item x="123"/>
        <item x="219"/>
        <item x="175"/>
        <item x="105"/>
        <item x="86"/>
        <item x="32"/>
        <item x="202"/>
        <item x="23"/>
        <item x="127"/>
        <item x="81"/>
        <item x="133"/>
        <item x="84"/>
        <item x="151"/>
        <item x="218"/>
        <item x="12"/>
        <item x="82"/>
        <item x="176"/>
        <item x="230"/>
        <item x="166"/>
        <item x="223"/>
        <item x="204"/>
        <item x="44"/>
        <item x="99"/>
        <item x="98"/>
        <item x="156"/>
        <item x="190"/>
        <item x="54"/>
        <item x="141"/>
        <item x="217"/>
        <item x="182"/>
        <item x="10"/>
        <item x="161"/>
        <item x="192"/>
        <item x="106"/>
        <item x="232"/>
        <item x="2"/>
        <item x="207"/>
        <item x="92"/>
        <item x="60"/>
        <item x="157"/>
        <item x="78"/>
        <item x="114"/>
        <item x="213"/>
        <item x="180"/>
        <item x="20"/>
        <item x="14"/>
        <item x="16"/>
        <item x="0"/>
        <item x="234"/>
        <item x="85"/>
        <item x="167"/>
        <item x="68"/>
        <item x="53"/>
        <item x="146"/>
        <item x="126"/>
        <item x="120"/>
        <item x="200"/>
        <item x="52"/>
        <item x="6"/>
        <item x="121"/>
        <item x="24"/>
        <item x="170"/>
        <item x="134"/>
        <item x="69"/>
        <item x="93"/>
        <item x="225"/>
        <item x="197"/>
        <item x="59"/>
        <item x="30"/>
        <item x="233"/>
        <item x="33"/>
        <item x="215"/>
        <item x="122"/>
        <item x="135"/>
        <item x="56"/>
        <item x="137"/>
        <item x="34"/>
        <item x="206"/>
        <item x="31"/>
        <item x="104"/>
        <item x="46"/>
        <item x="80"/>
        <item x="21"/>
        <item x="171"/>
        <item x="29"/>
        <item x="229"/>
        <item x="214"/>
        <item x="172"/>
        <item x="4"/>
        <item x="191"/>
        <item x="116"/>
        <item x="61"/>
        <item x="139"/>
        <item x="237"/>
        <item x="50"/>
        <item x="28"/>
        <item x="36"/>
        <item x="37"/>
        <item x="188"/>
        <item x="235"/>
        <item x="39"/>
        <item x="186"/>
        <item x="168"/>
        <item x="220"/>
        <item x="79"/>
        <item x="221"/>
        <item t="default"/>
      </items>
    </pivotField>
    <pivotField showAll="0"/>
    <pivotField showAll="0">
      <items count="5">
        <item x="2"/>
        <item x="1"/>
        <item x="3"/>
        <item x="0"/>
        <item t="default"/>
      </items>
    </pivotField>
    <pivotField numFmtId="1" showAll="0"/>
    <pivotField showAll="0"/>
    <pivotField showAll="0"/>
    <pivotField showAll="0"/>
    <pivotField showAll="0"/>
    <pivotField showAll="0"/>
    <pivotField showAll="0"/>
    <pivotField showAll="0"/>
    <pivotField dataField="1" numFmtId="10"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2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t="grand">
      <x/>
    </i>
  </rowItems>
  <colItems count="1">
    <i/>
  </colItems>
  <dataFields count="1">
    <dataField name="Average of Damage_Rate" fld="26" subtotal="average" baseField="15" baseItem="0" numFmtId="1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855937-74D3-42E9-A2B1-1CA1F9EDB8C1}"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4:C53" firstHeaderRow="0" firstDataRow="1" firstDataCol="1"/>
  <pivotFields count="31">
    <pivotField showAll="0"/>
    <pivotField numFmtId="14" showAll="0"/>
    <pivotField numFmtId="14" showAll="0">
      <items count="177">
        <item x="42"/>
        <item x="81"/>
        <item x="69"/>
        <item x="3"/>
        <item x="153"/>
        <item x="50"/>
        <item x="17"/>
        <item x="20"/>
        <item x="51"/>
        <item x="156"/>
        <item x="52"/>
        <item x="29"/>
        <item x="19"/>
        <item x="75"/>
        <item x="146"/>
        <item x="131"/>
        <item x="106"/>
        <item x="76"/>
        <item x="172"/>
        <item x="72"/>
        <item x="116"/>
        <item x="80"/>
        <item x="58"/>
        <item x="24"/>
        <item x="93"/>
        <item x="55"/>
        <item x="59"/>
        <item x="129"/>
        <item x="5"/>
        <item x="161"/>
        <item x="67"/>
        <item x="91"/>
        <item x="94"/>
        <item x="99"/>
        <item x="138"/>
        <item x="13"/>
        <item x="151"/>
        <item x="97"/>
        <item x="65"/>
        <item x="109"/>
        <item x="166"/>
        <item x="163"/>
        <item x="12"/>
        <item x="112"/>
        <item x="175"/>
        <item x="6"/>
        <item x="122"/>
        <item x="169"/>
        <item x="114"/>
        <item x="127"/>
        <item x="96"/>
        <item x="84"/>
        <item x="82"/>
        <item x="105"/>
        <item x="77"/>
        <item x="120"/>
        <item x="18"/>
        <item x="124"/>
        <item x="89"/>
        <item x="71"/>
        <item x="113"/>
        <item x="132"/>
        <item x="60"/>
        <item x="49"/>
        <item x="165"/>
        <item x="0"/>
        <item x="88"/>
        <item x="28"/>
        <item x="125"/>
        <item x="57"/>
        <item x="46"/>
        <item x="74"/>
        <item x="43"/>
        <item x="100"/>
        <item x="135"/>
        <item x="23"/>
        <item x="8"/>
        <item x="92"/>
        <item x="139"/>
        <item x="63"/>
        <item x="47"/>
        <item x="173"/>
        <item x="27"/>
        <item x="62"/>
        <item x="40"/>
        <item x="83"/>
        <item x="95"/>
        <item x="45"/>
        <item x="48"/>
        <item x="144"/>
        <item x="110"/>
        <item x="70"/>
        <item x="103"/>
        <item x="149"/>
        <item x="4"/>
        <item x="160"/>
        <item x="118"/>
        <item x="108"/>
        <item x="142"/>
        <item x="7"/>
        <item x="115"/>
        <item x="101"/>
        <item x="107"/>
        <item x="130"/>
        <item x="39"/>
        <item x="79"/>
        <item x="14"/>
        <item x="164"/>
        <item x="136"/>
        <item x="64"/>
        <item x="87"/>
        <item x="133"/>
        <item x="30"/>
        <item x="1"/>
        <item x="32"/>
        <item x="36"/>
        <item x="126"/>
        <item x="121"/>
        <item x="15"/>
        <item x="170"/>
        <item x="145"/>
        <item x="90"/>
        <item x="167"/>
        <item x="68"/>
        <item x="38"/>
        <item x="119"/>
        <item x="98"/>
        <item x="154"/>
        <item x="111"/>
        <item x="117"/>
        <item x="141"/>
        <item x="157"/>
        <item x="56"/>
        <item x="66"/>
        <item x="34"/>
        <item x="10"/>
        <item x="86"/>
        <item x="123"/>
        <item x="155"/>
        <item x="11"/>
        <item x="16"/>
        <item x="174"/>
        <item x="25"/>
        <item x="33"/>
        <item x="159"/>
        <item x="128"/>
        <item x="168"/>
        <item x="61"/>
        <item x="44"/>
        <item x="137"/>
        <item x="143"/>
        <item x="162"/>
        <item x="102"/>
        <item x="85"/>
        <item x="22"/>
        <item x="150"/>
        <item x="140"/>
        <item x="134"/>
        <item x="31"/>
        <item x="41"/>
        <item x="158"/>
        <item x="73"/>
        <item x="37"/>
        <item x="2"/>
        <item x="21"/>
        <item x="152"/>
        <item x="26"/>
        <item x="9"/>
        <item x="53"/>
        <item x="35"/>
        <item x="54"/>
        <item x="104"/>
        <item x="148"/>
        <item x="78"/>
        <item x="147"/>
        <item x="171"/>
        <item t="default"/>
      </items>
    </pivotField>
    <pivotField showAll="0">
      <items count="7">
        <item x="2"/>
        <item x="1"/>
        <item x="4"/>
        <item x="0"/>
        <item x="3"/>
        <item x="5"/>
        <item t="default"/>
      </items>
    </pivotField>
    <pivotField axis="axisRow" showAll="0" sortType="descending">
      <items count="9">
        <item x="0"/>
        <item x="1"/>
        <item x="5"/>
        <item x="6"/>
        <item x="2"/>
        <item x="3"/>
        <item x="4"/>
        <item x="7"/>
        <item t="default"/>
      </items>
      <autoSortScope>
        <pivotArea dataOnly="0" outline="0" fieldPosition="0">
          <references count="1">
            <reference field="4294967294" count="1" selected="0">
              <x v="1"/>
            </reference>
          </references>
        </pivotArea>
      </autoSortScope>
    </pivotField>
    <pivotField showAll="0">
      <items count="6">
        <item x="4"/>
        <item x="0"/>
        <item x="3"/>
        <item x="2"/>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5">
        <item x="2"/>
        <item x="1"/>
        <item x="3"/>
        <item x="0"/>
        <item t="default"/>
      </items>
    </pivotField>
    <pivotField numFmtId="1" showAll="0"/>
    <pivotField showAll="0"/>
    <pivotField showAll="0"/>
    <pivotField showAll="0"/>
    <pivotField showAll="0"/>
    <pivotField showAll="0"/>
    <pivotField showAll="0"/>
    <pivotField showAll="0"/>
    <pivotField dataField="1" numFmtId="10"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v="3"/>
    </i>
    <i>
      <x/>
    </i>
    <i>
      <x v="1"/>
    </i>
    <i>
      <x v="7"/>
    </i>
    <i>
      <x v="2"/>
    </i>
    <i>
      <x v="6"/>
    </i>
    <i>
      <x v="5"/>
    </i>
    <i>
      <x v="4"/>
    </i>
    <i t="grand">
      <x/>
    </i>
  </rowItems>
  <colFields count="1">
    <field x="-2"/>
  </colFields>
  <colItems count="2">
    <i>
      <x/>
    </i>
    <i i="1">
      <x v="1"/>
    </i>
  </colItems>
  <dataFields count="2">
    <dataField name="Count of Units_Shipped" fld="12" subtotal="count" baseField="4" baseItem="1" numFmtId="1"/>
    <dataField name="Average of Damage_Rate" fld="26" subtotal="average" baseField="4" baseItem="0" numFmtId="10"/>
  </dataFields>
  <formats count="2">
    <format dxfId="5">
      <pivotArea outline="0" collapsedLevelsAreSubtotals="1" fieldPosition="0"/>
    </format>
    <format dxfId="4">
      <pivotArea outline="0" collapsedLevelsAreSubtotals="1" fieldPosition="0">
        <references count="1">
          <reference field="4294967294" count="1" selected="0">
            <x v="0"/>
          </reference>
        </references>
      </pivotArea>
    </format>
  </format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BBD6C7-6B6D-464C-A906-487D09D9261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2:H8" firstHeaderRow="1" firstDataRow="1" firstDataCol="1"/>
  <pivotFields count="31">
    <pivotField showAll="0"/>
    <pivotField numFmtId="14" showAll="0"/>
    <pivotField numFmtId="14" showAll="0">
      <items count="177">
        <item x="42"/>
        <item x="81"/>
        <item x="69"/>
        <item x="3"/>
        <item x="153"/>
        <item x="50"/>
        <item x="17"/>
        <item x="20"/>
        <item x="51"/>
        <item x="156"/>
        <item x="52"/>
        <item x="29"/>
        <item x="19"/>
        <item x="75"/>
        <item x="146"/>
        <item x="131"/>
        <item x="106"/>
        <item x="76"/>
        <item x="172"/>
        <item x="72"/>
        <item x="116"/>
        <item x="80"/>
        <item x="58"/>
        <item x="24"/>
        <item x="93"/>
        <item x="55"/>
        <item x="59"/>
        <item x="129"/>
        <item x="5"/>
        <item x="161"/>
        <item x="67"/>
        <item x="91"/>
        <item x="94"/>
        <item x="99"/>
        <item x="138"/>
        <item x="13"/>
        <item x="151"/>
        <item x="97"/>
        <item x="65"/>
        <item x="109"/>
        <item x="166"/>
        <item x="163"/>
        <item x="12"/>
        <item x="112"/>
        <item x="175"/>
        <item x="6"/>
        <item x="122"/>
        <item x="169"/>
        <item x="114"/>
        <item x="127"/>
        <item x="96"/>
        <item x="84"/>
        <item x="82"/>
        <item x="105"/>
        <item x="77"/>
        <item x="120"/>
        <item x="18"/>
        <item x="124"/>
        <item x="89"/>
        <item x="71"/>
        <item x="113"/>
        <item x="132"/>
        <item x="60"/>
        <item x="49"/>
        <item x="165"/>
        <item x="0"/>
        <item x="88"/>
        <item x="28"/>
        <item x="125"/>
        <item x="57"/>
        <item x="46"/>
        <item x="74"/>
        <item x="43"/>
        <item x="100"/>
        <item x="135"/>
        <item x="23"/>
        <item x="8"/>
        <item x="92"/>
        <item x="139"/>
        <item x="63"/>
        <item x="47"/>
        <item x="173"/>
        <item x="27"/>
        <item x="62"/>
        <item x="40"/>
        <item x="83"/>
        <item x="95"/>
        <item x="45"/>
        <item x="48"/>
        <item x="144"/>
        <item x="110"/>
        <item x="70"/>
        <item x="103"/>
        <item x="149"/>
        <item x="4"/>
        <item x="160"/>
        <item x="118"/>
        <item x="108"/>
        <item x="142"/>
        <item x="7"/>
        <item x="115"/>
        <item x="101"/>
        <item x="107"/>
        <item x="130"/>
        <item x="39"/>
        <item x="79"/>
        <item x="14"/>
        <item x="164"/>
        <item x="136"/>
        <item x="64"/>
        <item x="87"/>
        <item x="133"/>
        <item x="30"/>
        <item x="1"/>
        <item x="32"/>
        <item x="36"/>
        <item x="126"/>
        <item x="121"/>
        <item x="15"/>
        <item x="170"/>
        <item x="145"/>
        <item x="90"/>
        <item x="167"/>
        <item x="68"/>
        <item x="38"/>
        <item x="119"/>
        <item x="98"/>
        <item x="154"/>
        <item x="111"/>
        <item x="117"/>
        <item x="141"/>
        <item x="157"/>
        <item x="56"/>
        <item x="66"/>
        <item x="34"/>
        <item x="10"/>
        <item x="86"/>
        <item x="123"/>
        <item x="155"/>
        <item x="11"/>
        <item x="16"/>
        <item x="174"/>
        <item x="25"/>
        <item x="33"/>
        <item x="159"/>
        <item x="128"/>
        <item x="168"/>
        <item x="61"/>
        <item x="44"/>
        <item x="137"/>
        <item x="143"/>
        <item x="162"/>
        <item x="102"/>
        <item x="85"/>
        <item x="22"/>
        <item x="150"/>
        <item x="140"/>
        <item x="134"/>
        <item x="31"/>
        <item x="41"/>
        <item x="158"/>
        <item x="73"/>
        <item x="37"/>
        <item x="2"/>
        <item x="21"/>
        <item x="152"/>
        <item x="26"/>
        <item x="9"/>
        <item x="53"/>
        <item x="35"/>
        <item x="54"/>
        <item x="104"/>
        <item x="148"/>
        <item x="78"/>
        <item x="147"/>
        <item x="171"/>
        <item t="default"/>
      </items>
    </pivotField>
    <pivotField showAll="0">
      <items count="7">
        <item x="2"/>
        <item x="1"/>
        <item x="4"/>
        <item x="0"/>
        <item x="3"/>
        <item x="5"/>
        <item t="default"/>
      </items>
    </pivotField>
    <pivotField showAll="0"/>
    <pivotField showAll="0">
      <items count="6">
        <item x="4"/>
        <item x="0"/>
        <item x="3"/>
        <item x="2"/>
        <item x="1"/>
        <item t="default"/>
      </items>
    </pivotField>
    <pivotField showAll="0"/>
    <pivotField showAll="0"/>
    <pivotField showAll="0"/>
    <pivotField showAll="0"/>
    <pivotField axis="axisRow" showAll="0" measureFilter="1" sortType="descending">
      <items count="153">
        <item x="30"/>
        <item x="101"/>
        <item x="51"/>
        <item x="73"/>
        <item x="132"/>
        <item x="148"/>
        <item x="49"/>
        <item x="37"/>
        <item x="89"/>
        <item x="147"/>
        <item x="10"/>
        <item x="146"/>
        <item x="142"/>
        <item x="85"/>
        <item x="15"/>
        <item x="127"/>
        <item x="35"/>
        <item x="34"/>
        <item x="3"/>
        <item x="6"/>
        <item x="120"/>
        <item x="117"/>
        <item x="102"/>
        <item x="55"/>
        <item x="72"/>
        <item x="134"/>
        <item x="2"/>
        <item x="62"/>
        <item x="83"/>
        <item x="103"/>
        <item x="87"/>
        <item x="91"/>
        <item x="61"/>
        <item x="18"/>
        <item x="69"/>
        <item x="44"/>
        <item x="77"/>
        <item x="94"/>
        <item x="106"/>
        <item x="28"/>
        <item x="17"/>
        <item x="100"/>
        <item x="39"/>
        <item x="92"/>
        <item x="126"/>
        <item x="43"/>
        <item x="88"/>
        <item x="41"/>
        <item x="16"/>
        <item x="139"/>
        <item x="71"/>
        <item x="29"/>
        <item x="136"/>
        <item x="114"/>
        <item x="110"/>
        <item x="45"/>
        <item x="119"/>
        <item x="66"/>
        <item x="149"/>
        <item x="104"/>
        <item x="115"/>
        <item x="32"/>
        <item x="0"/>
        <item x="26"/>
        <item x="52"/>
        <item x="23"/>
        <item x="75"/>
        <item x="27"/>
        <item x="1"/>
        <item x="12"/>
        <item x="25"/>
        <item x="14"/>
        <item x="31"/>
        <item x="38"/>
        <item x="53"/>
        <item x="40"/>
        <item x="33"/>
        <item x="21"/>
        <item x="67"/>
        <item x="81"/>
        <item x="141"/>
        <item x="124"/>
        <item x="48"/>
        <item x="68"/>
        <item x="93"/>
        <item x="140"/>
        <item x="9"/>
        <item x="74"/>
        <item x="58"/>
        <item x="36"/>
        <item x="135"/>
        <item x="63"/>
        <item x="99"/>
        <item x="105"/>
        <item x="107"/>
        <item x="42"/>
        <item x="8"/>
        <item x="122"/>
        <item x="19"/>
        <item x="113"/>
        <item x="24"/>
        <item x="86"/>
        <item x="70"/>
        <item x="129"/>
        <item x="109"/>
        <item x="96"/>
        <item x="22"/>
        <item x="128"/>
        <item x="82"/>
        <item x="144"/>
        <item x="47"/>
        <item x="13"/>
        <item x="50"/>
        <item x="76"/>
        <item x="4"/>
        <item x="123"/>
        <item x="150"/>
        <item x="116"/>
        <item x="65"/>
        <item x="125"/>
        <item x="138"/>
        <item x="97"/>
        <item x="20"/>
        <item x="112"/>
        <item x="78"/>
        <item x="59"/>
        <item x="56"/>
        <item x="108"/>
        <item x="143"/>
        <item x="133"/>
        <item x="98"/>
        <item x="7"/>
        <item x="95"/>
        <item x="11"/>
        <item x="80"/>
        <item x="111"/>
        <item x="60"/>
        <item x="84"/>
        <item x="5"/>
        <item x="64"/>
        <item x="118"/>
        <item x="90"/>
        <item x="137"/>
        <item x="54"/>
        <item x="46"/>
        <item x="151"/>
        <item x="57"/>
        <item x="79"/>
        <item x="145"/>
        <item x="121"/>
        <item x="131"/>
        <item x="1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
        <item x="2"/>
        <item x="1"/>
        <item x="3"/>
        <item x="0"/>
        <item t="default"/>
      </items>
    </pivotField>
    <pivotField numFmtId="1" showAll="0"/>
    <pivotField showAll="0"/>
    <pivotField showAll="0"/>
    <pivotField dataField="1" showAll="0"/>
    <pivotField showAll="0"/>
    <pivotField showAll="0"/>
    <pivotField showAll="0"/>
    <pivotField showAll="0"/>
    <pivotField numFmtId="10"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v="148"/>
    </i>
    <i>
      <x v="120"/>
    </i>
    <i>
      <x v="43"/>
    </i>
    <i>
      <x v="89"/>
    </i>
    <i>
      <x v="46"/>
    </i>
    <i t="grand">
      <x/>
    </i>
  </rowItems>
  <colItems count="1">
    <i/>
  </colItems>
  <dataFields count="1">
    <dataField name="Average of Delay_Days" fld="21" subtotal="average" baseField="10" baseItem="0"/>
  </dataFields>
  <formats count="1">
    <format dxfId="6">
      <pivotArea outline="0" collapsedLevelsAreSubtotals="1" fieldPosition="0"/>
    </format>
  </formats>
  <pivotTableStyleInfo name="PivotStyleLight16" showRowHeaders="1" showColHeaders="1" showRowStripes="0" showColStripes="0" showLastColumn="1"/>
  <filters count="1">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36144B-3D56-4448-912B-2F31DD43751E}"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3:B27" firstHeaderRow="1" firstDataRow="1" firstDataCol="1"/>
  <pivotFields count="31">
    <pivotField showAll="0"/>
    <pivotField numFmtId="14" showAll="0"/>
    <pivotField numFmtId="14" showAll="0">
      <items count="177">
        <item x="42"/>
        <item x="81"/>
        <item x="69"/>
        <item x="3"/>
        <item x="153"/>
        <item x="50"/>
        <item x="17"/>
        <item x="20"/>
        <item x="51"/>
        <item x="156"/>
        <item x="52"/>
        <item x="29"/>
        <item x="19"/>
        <item x="75"/>
        <item x="146"/>
        <item x="131"/>
        <item x="106"/>
        <item x="76"/>
        <item x="172"/>
        <item x="72"/>
        <item x="116"/>
        <item x="80"/>
        <item x="58"/>
        <item x="24"/>
        <item x="93"/>
        <item x="55"/>
        <item x="59"/>
        <item x="129"/>
        <item x="5"/>
        <item x="161"/>
        <item x="67"/>
        <item x="91"/>
        <item x="94"/>
        <item x="99"/>
        <item x="138"/>
        <item x="13"/>
        <item x="151"/>
        <item x="97"/>
        <item x="65"/>
        <item x="109"/>
        <item x="166"/>
        <item x="163"/>
        <item x="12"/>
        <item x="112"/>
        <item x="175"/>
        <item x="6"/>
        <item x="122"/>
        <item x="169"/>
        <item x="114"/>
        <item x="127"/>
        <item x="96"/>
        <item x="84"/>
        <item x="82"/>
        <item x="105"/>
        <item x="77"/>
        <item x="120"/>
        <item x="18"/>
        <item x="124"/>
        <item x="89"/>
        <item x="71"/>
        <item x="113"/>
        <item x="132"/>
        <item x="60"/>
        <item x="49"/>
        <item x="165"/>
        <item x="0"/>
        <item x="88"/>
        <item x="28"/>
        <item x="125"/>
        <item x="57"/>
        <item x="46"/>
        <item x="74"/>
        <item x="43"/>
        <item x="100"/>
        <item x="135"/>
        <item x="23"/>
        <item x="8"/>
        <item x="92"/>
        <item x="139"/>
        <item x="63"/>
        <item x="47"/>
        <item x="173"/>
        <item x="27"/>
        <item x="62"/>
        <item x="40"/>
        <item x="83"/>
        <item x="95"/>
        <item x="45"/>
        <item x="48"/>
        <item x="144"/>
        <item x="110"/>
        <item x="70"/>
        <item x="103"/>
        <item x="149"/>
        <item x="4"/>
        <item x="160"/>
        <item x="118"/>
        <item x="108"/>
        <item x="142"/>
        <item x="7"/>
        <item x="115"/>
        <item x="101"/>
        <item x="107"/>
        <item x="130"/>
        <item x="39"/>
        <item x="79"/>
        <item x="14"/>
        <item x="164"/>
        <item x="136"/>
        <item x="64"/>
        <item x="87"/>
        <item x="133"/>
        <item x="30"/>
        <item x="1"/>
        <item x="32"/>
        <item x="36"/>
        <item x="126"/>
        <item x="121"/>
        <item x="15"/>
        <item x="170"/>
        <item x="145"/>
        <item x="90"/>
        <item x="167"/>
        <item x="68"/>
        <item x="38"/>
        <item x="119"/>
        <item x="98"/>
        <item x="154"/>
        <item x="111"/>
        <item x="117"/>
        <item x="141"/>
        <item x="157"/>
        <item x="56"/>
        <item x="66"/>
        <item x="34"/>
        <item x="10"/>
        <item x="86"/>
        <item x="123"/>
        <item x="155"/>
        <item x="11"/>
        <item x="16"/>
        <item x="174"/>
        <item x="25"/>
        <item x="33"/>
        <item x="159"/>
        <item x="128"/>
        <item x="168"/>
        <item x="61"/>
        <item x="44"/>
        <item x="137"/>
        <item x="143"/>
        <item x="162"/>
        <item x="102"/>
        <item x="85"/>
        <item x="22"/>
        <item x="150"/>
        <item x="140"/>
        <item x="134"/>
        <item x="31"/>
        <item x="41"/>
        <item x="158"/>
        <item x="73"/>
        <item x="37"/>
        <item x="2"/>
        <item x="21"/>
        <item x="152"/>
        <item x="26"/>
        <item x="9"/>
        <item x="53"/>
        <item x="35"/>
        <item x="54"/>
        <item x="104"/>
        <item x="148"/>
        <item x="78"/>
        <item x="147"/>
        <item x="171"/>
        <item t="default"/>
      </items>
    </pivotField>
    <pivotField showAll="0">
      <items count="7">
        <item x="2"/>
        <item x="1"/>
        <item x="4"/>
        <item x="0"/>
        <item x="3"/>
        <item x="5"/>
        <item t="default"/>
      </items>
    </pivotField>
    <pivotField showAll="0"/>
    <pivotField showAll="0">
      <items count="6">
        <item x="4"/>
        <item x="0"/>
        <item x="3"/>
        <item x="2"/>
        <item x="1"/>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items count="5">
        <item x="2"/>
        <item x="1"/>
        <item x="3"/>
        <item x="0"/>
        <item t="default"/>
      </items>
    </pivotField>
    <pivotField numFmtId="1" showAll="0"/>
    <pivotField showAll="0"/>
    <pivotField showAll="0"/>
    <pivotField dataField="1" showAll="0"/>
    <pivotField showAll="0"/>
    <pivotField showAll="0"/>
    <pivotField showAll="0"/>
    <pivotField showAll="0"/>
    <pivotField numFmtId="10"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Items count="1">
    <i/>
  </colItems>
  <dataFields count="1">
    <dataField name="Average of Delay_Days" fld="21" subtotal="average" baseField="17" baseItem="0" numFmtId="2"/>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6B6572-BB25-4B0C-A64B-D4B06F48A33E}"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43:J283" firstHeaderRow="1" firstDataRow="1" firstDataCol="1"/>
  <pivotFields count="31">
    <pivotField showAll="0"/>
    <pivotField numFmtId="14" showAll="0"/>
    <pivotField numFmtId="14" showAll="0">
      <items count="177">
        <item x="42"/>
        <item x="81"/>
        <item x="69"/>
        <item x="3"/>
        <item x="153"/>
        <item x="50"/>
        <item x="17"/>
        <item x="20"/>
        <item x="51"/>
        <item x="156"/>
        <item x="52"/>
        <item x="29"/>
        <item x="19"/>
        <item x="75"/>
        <item x="146"/>
        <item x="131"/>
        <item x="106"/>
        <item x="76"/>
        <item x="172"/>
        <item x="72"/>
        <item x="116"/>
        <item x="80"/>
        <item x="58"/>
        <item x="24"/>
        <item x="93"/>
        <item x="55"/>
        <item x="59"/>
        <item x="129"/>
        <item x="5"/>
        <item x="161"/>
        <item x="67"/>
        <item x="91"/>
        <item x="94"/>
        <item x="99"/>
        <item x="138"/>
        <item x="13"/>
        <item x="151"/>
        <item x="97"/>
        <item x="65"/>
        <item x="109"/>
        <item x="166"/>
        <item x="163"/>
        <item x="12"/>
        <item x="112"/>
        <item x="175"/>
        <item x="6"/>
        <item x="122"/>
        <item x="169"/>
        <item x="114"/>
        <item x="127"/>
        <item x="96"/>
        <item x="84"/>
        <item x="82"/>
        <item x="105"/>
        <item x="77"/>
        <item x="120"/>
        <item x="18"/>
        <item x="124"/>
        <item x="89"/>
        <item x="71"/>
        <item x="113"/>
        <item x="132"/>
        <item x="60"/>
        <item x="49"/>
        <item x="165"/>
        <item x="0"/>
        <item x="88"/>
        <item x="28"/>
        <item x="125"/>
        <item x="57"/>
        <item x="46"/>
        <item x="74"/>
        <item x="43"/>
        <item x="100"/>
        <item x="135"/>
        <item x="23"/>
        <item x="8"/>
        <item x="92"/>
        <item x="139"/>
        <item x="63"/>
        <item x="47"/>
        <item x="173"/>
        <item x="27"/>
        <item x="62"/>
        <item x="40"/>
        <item x="83"/>
        <item x="95"/>
        <item x="45"/>
        <item x="48"/>
        <item x="144"/>
        <item x="110"/>
        <item x="70"/>
        <item x="103"/>
        <item x="149"/>
        <item x="4"/>
        <item x="160"/>
        <item x="118"/>
        <item x="108"/>
        <item x="142"/>
        <item x="7"/>
        <item x="115"/>
        <item x="101"/>
        <item x="107"/>
        <item x="130"/>
        <item x="39"/>
        <item x="79"/>
        <item x="14"/>
        <item x="164"/>
        <item x="136"/>
        <item x="64"/>
        <item x="87"/>
        <item x="133"/>
        <item x="30"/>
        <item x="1"/>
        <item x="32"/>
        <item x="36"/>
        <item x="126"/>
        <item x="121"/>
        <item x="15"/>
        <item x="170"/>
        <item x="145"/>
        <item x="90"/>
        <item x="167"/>
        <item x="68"/>
        <item x="38"/>
        <item x="119"/>
        <item x="98"/>
        <item x="154"/>
        <item x="111"/>
        <item x="117"/>
        <item x="141"/>
        <item x="157"/>
        <item x="56"/>
        <item x="66"/>
        <item x="34"/>
        <item x="10"/>
        <item x="86"/>
        <item x="123"/>
        <item x="155"/>
        <item x="11"/>
        <item x="16"/>
        <item x="174"/>
        <item x="25"/>
        <item x="33"/>
        <item x="159"/>
        <item x="128"/>
        <item x="168"/>
        <item x="61"/>
        <item x="44"/>
        <item x="137"/>
        <item x="143"/>
        <item x="162"/>
        <item x="102"/>
        <item x="85"/>
        <item x="22"/>
        <item x="150"/>
        <item x="140"/>
        <item x="134"/>
        <item x="31"/>
        <item x="41"/>
        <item x="158"/>
        <item x="73"/>
        <item x="37"/>
        <item x="2"/>
        <item x="21"/>
        <item x="152"/>
        <item x="26"/>
        <item x="9"/>
        <item x="53"/>
        <item x="35"/>
        <item x="54"/>
        <item x="104"/>
        <item x="148"/>
        <item x="78"/>
        <item x="147"/>
        <item x="171"/>
        <item t="default"/>
      </items>
    </pivotField>
    <pivotField showAll="0">
      <items count="7">
        <item x="2"/>
        <item x="1"/>
        <item x="4"/>
        <item x="0"/>
        <item x="3"/>
        <item x="5"/>
        <item t="default"/>
      </items>
    </pivotField>
    <pivotField showAll="0"/>
    <pivotField showAll="0">
      <items count="6">
        <item x="4"/>
        <item x="0"/>
        <item x="3"/>
        <item x="2"/>
        <item x="1"/>
        <item t="default"/>
      </items>
    </pivotField>
    <pivotField showAll="0"/>
    <pivotField showAll="0"/>
    <pivotField showAll="0"/>
    <pivotField showAll="0"/>
    <pivotField showAll="0"/>
    <pivotField showAll="0"/>
    <pivotField showAll="0"/>
    <pivotField showAll="0"/>
    <pivotField showAll="0"/>
    <pivotField axis="axisRow" showAll="0">
      <items count="240">
        <item x="45"/>
        <item x="119"/>
        <item x="199"/>
        <item x="210"/>
        <item x="165"/>
        <item x="66"/>
        <item x="83"/>
        <item x="238"/>
        <item x="185"/>
        <item x="71"/>
        <item x="150"/>
        <item x="97"/>
        <item x="183"/>
        <item x="153"/>
        <item x="173"/>
        <item x="110"/>
        <item x="9"/>
        <item x="117"/>
        <item x="7"/>
        <item x="5"/>
        <item x="73"/>
        <item x="72"/>
        <item x="76"/>
        <item x="109"/>
        <item x="129"/>
        <item x="51"/>
        <item x="147"/>
        <item x="184"/>
        <item x="115"/>
        <item x="130"/>
        <item x="179"/>
        <item x="196"/>
        <item x="178"/>
        <item x="142"/>
        <item x="136"/>
        <item x="209"/>
        <item x="77"/>
        <item x="49"/>
        <item x="94"/>
        <item x="101"/>
        <item x="58"/>
        <item x="162"/>
        <item x="159"/>
        <item x="231"/>
        <item x="205"/>
        <item x="22"/>
        <item x="227"/>
        <item x="19"/>
        <item x="48"/>
        <item x="194"/>
        <item x="35"/>
        <item x="113"/>
        <item x="43"/>
        <item x="181"/>
        <item x="15"/>
        <item x="18"/>
        <item x="144"/>
        <item x="1"/>
        <item x="203"/>
        <item x="187"/>
        <item x="41"/>
        <item x="145"/>
        <item x="107"/>
        <item x="198"/>
        <item x="128"/>
        <item x="63"/>
        <item x="226"/>
        <item x="125"/>
        <item x="189"/>
        <item x="138"/>
        <item x="65"/>
        <item x="111"/>
        <item x="8"/>
        <item x="163"/>
        <item x="102"/>
        <item x="140"/>
        <item x="143"/>
        <item x="100"/>
        <item x="155"/>
        <item x="89"/>
        <item x="87"/>
        <item x="42"/>
        <item x="131"/>
        <item x="236"/>
        <item x="40"/>
        <item x="75"/>
        <item x="132"/>
        <item x="96"/>
        <item x="95"/>
        <item x="158"/>
        <item x="108"/>
        <item x="193"/>
        <item x="62"/>
        <item x="160"/>
        <item x="25"/>
        <item x="47"/>
        <item x="212"/>
        <item x="57"/>
        <item x="67"/>
        <item x="164"/>
        <item x="74"/>
        <item x="169"/>
        <item x="222"/>
        <item x="228"/>
        <item x="70"/>
        <item x="91"/>
        <item x="26"/>
        <item x="195"/>
        <item x="90"/>
        <item x="11"/>
        <item x="38"/>
        <item x="148"/>
        <item x="3"/>
        <item x="55"/>
        <item x="211"/>
        <item x="112"/>
        <item x="154"/>
        <item x="88"/>
        <item x="124"/>
        <item x="177"/>
        <item x="216"/>
        <item x="208"/>
        <item x="103"/>
        <item x="152"/>
        <item x="27"/>
        <item x="118"/>
        <item x="149"/>
        <item x="13"/>
        <item x="17"/>
        <item x="224"/>
        <item x="64"/>
        <item x="201"/>
        <item x="174"/>
        <item x="123"/>
        <item x="219"/>
        <item x="175"/>
        <item x="105"/>
        <item x="86"/>
        <item x="32"/>
        <item x="202"/>
        <item x="23"/>
        <item x="127"/>
        <item x="81"/>
        <item x="133"/>
        <item x="84"/>
        <item x="151"/>
        <item x="218"/>
        <item x="12"/>
        <item x="82"/>
        <item x="176"/>
        <item x="230"/>
        <item x="166"/>
        <item x="223"/>
        <item x="204"/>
        <item x="44"/>
        <item x="99"/>
        <item x="98"/>
        <item x="156"/>
        <item x="190"/>
        <item x="54"/>
        <item x="141"/>
        <item x="217"/>
        <item x="182"/>
        <item x="10"/>
        <item x="161"/>
        <item x="192"/>
        <item x="106"/>
        <item x="232"/>
        <item x="2"/>
        <item x="207"/>
        <item x="92"/>
        <item x="60"/>
        <item x="157"/>
        <item x="78"/>
        <item x="114"/>
        <item x="213"/>
        <item x="180"/>
        <item x="20"/>
        <item x="14"/>
        <item x="16"/>
        <item x="0"/>
        <item x="234"/>
        <item x="85"/>
        <item x="167"/>
        <item x="68"/>
        <item x="53"/>
        <item x="146"/>
        <item x="126"/>
        <item x="120"/>
        <item x="200"/>
        <item x="52"/>
        <item x="6"/>
        <item x="121"/>
        <item x="24"/>
        <item x="170"/>
        <item x="134"/>
        <item x="69"/>
        <item x="93"/>
        <item x="225"/>
        <item x="197"/>
        <item x="59"/>
        <item x="30"/>
        <item x="233"/>
        <item x="33"/>
        <item x="215"/>
        <item x="122"/>
        <item x="135"/>
        <item x="56"/>
        <item x="137"/>
        <item x="34"/>
        <item x="206"/>
        <item x="31"/>
        <item x="104"/>
        <item x="46"/>
        <item x="80"/>
        <item x="21"/>
        <item x="171"/>
        <item x="29"/>
        <item x="229"/>
        <item x="214"/>
        <item x="172"/>
        <item x="4"/>
        <item x="191"/>
        <item x="116"/>
        <item x="61"/>
        <item x="139"/>
        <item x="237"/>
        <item x="50"/>
        <item x="28"/>
        <item x="36"/>
        <item x="37"/>
        <item x="188"/>
        <item x="235"/>
        <item x="39"/>
        <item x="186"/>
        <item x="168"/>
        <item x="220"/>
        <item x="79"/>
        <item x="221"/>
        <item t="default"/>
      </items>
    </pivotField>
    <pivotField showAll="0"/>
    <pivotField showAll="0">
      <items count="5">
        <item x="2"/>
        <item x="1"/>
        <item x="3"/>
        <item x="0"/>
        <item t="default"/>
      </items>
    </pivotField>
    <pivotField numFmtId="1" showAll="0"/>
    <pivotField showAll="0"/>
    <pivotField dataField="1" showAll="0"/>
    <pivotField showAll="0"/>
    <pivotField showAll="0"/>
    <pivotField showAll="0"/>
    <pivotField showAll="0"/>
    <pivotField showAll="0"/>
    <pivotField numFmtId="10"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2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t="grand">
      <x/>
    </i>
  </rowItems>
  <colItems count="1">
    <i/>
  </colItems>
  <dataFields count="1">
    <dataField name="Sum of Actual_Transit_Days" fld="20" baseField="0" baseItem="0" numFmtId="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4939B4-2529-4A4F-8050-D782FCDA2CA0}"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22:H28" firstHeaderRow="1" firstDataRow="1" firstDataCol="1"/>
  <pivotFields count="31">
    <pivotField showAll="0"/>
    <pivotField numFmtId="14" showAll="0"/>
    <pivotField numFmtId="14" showAll="0">
      <items count="177">
        <item x="42"/>
        <item x="81"/>
        <item x="69"/>
        <item x="3"/>
        <item x="153"/>
        <item x="50"/>
        <item x="17"/>
        <item x="20"/>
        <item x="51"/>
        <item x="156"/>
        <item x="52"/>
        <item x="29"/>
        <item x="19"/>
        <item x="75"/>
        <item x="146"/>
        <item x="131"/>
        <item x="106"/>
        <item x="76"/>
        <item x="172"/>
        <item x="72"/>
        <item x="116"/>
        <item x="80"/>
        <item x="58"/>
        <item x="24"/>
        <item x="93"/>
        <item x="55"/>
        <item x="59"/>
        <item x="129"/>
        <item x="5"/>
        <item x="161"/>
        <item x="67"/>
        <item x="91"/>
        <item x="94"/>
        <item x="99"/>
        <item x="138"/>
        <item x="13"/>
        <item x="151"/>
        <item x="97"/>
        <item x="65"/>
        <item x="109"/>
        <item x="166"/>
        <item x="163"/>
        <item x="12"/>
        <item x="112"/>
        <item x="175"/>
        <item x="6"/>
        <item x="122"/>
        <item x="169"/>
        <item x="114"/>
        <item x="127"/>
        <item x="96"/>
        <item x="84"/>
        <item x="82"/>
        <item x="105"/>
        <item x="77"/>
        <item x="120"/>
        <item x="18"/>
        <item x="124"/>
        <item x="89"/>
        <item x="71"/>
        <item x="113"/>
        <item x="132"/>
        <item x="60"/>
        <item x="49"/>
        <item x="165"/>
        <item x="0"/>
        <item x="88"/>
        <item x="28"/>
        <item x="125"/>
        <item x="57"/>
        <item x="46"/>
        <item x="74"/>
        <item x="43"/>
        <item x="100"/>
        <item x="135"/>
        <item x="23"/>
        <item x="8"/>
        <item x="92"/>
        <item x="139"/>
        <item x="63"/>
        <item x="47"/>
        <item x="173"/>
        <item x="27"/>
        <item x="62"/>
        <item x="40"/>
        <item x="83"/>
        <item x="95"/>
        <item x="45"/>
        <item x="48"/>
        <item x="144"/>
        <item x="110"/>
        <item x="70"/>
        <item x="103"/>
        <item x="149"/>
        <item x="4"/>
        <item x="160"/>
        <item x="118"/>
        <item x="108"/>
        <item x="142"/>
        <item x="7"/>
        <item x="115"/>
        <item x="101"/>
        <item x="107"/>
        <item x="130"/>
        <item x="39"/>
        <item x="79"/>
        <item x="14"/>
        <item x="164"/>
        <item x="136"/>
        <item x="64"/>
        <item x="87"/>
        <item x="133"/>
        <item x="30"/>
        <item x="1"/>
        <item x="32"/>
        <item x="36"/>
        <item x="126"/>
        <item x="121"/>
        <item x="15"/>
        <item x="170"/>
        <item x="145"/>
        <item x="90"/>
        <item x="167"/>
        <item x="68"/>
        <item x="38"/>
        <item x="119"/>
        <item x="98"/>
        <item x="154"/>
        <item x="111"/>
        <item x="117"/>
        <item x="141"/>
        <item x="157"/>
        <item x="56"/>
        <item x="66"/>
        <item x="34"/>
        <item x="10"/>
        <item x="86"/>
        <item x="123"/>
        <item x="155"/>
        <item x="11"/>
        <item x="16"/>
        <item x="174"/>
        <item x="25"/>
        <item x="33"/>
        <item x="159"/>
        <item x="128"/>
        <item x="168"/>
        <item x="61"/>
        <item x="44"/>
        <item x="137"/>
        <item x="143"/>
        <item x="162"/>
        <item x="102"/>
        <item x="85"/>
        <item x="22"/>
        <item x="150"/>
        <item x="140"/>
        <item x="134"/>
        <item x="31"/>
        <item x="41"/>
        <item x="158"/>
        <item x="73"/>
        <item x="37"/>
        <item x="2"/>
        <item x="21"/>
        <item x="152"/>
        <item x="26"/>
        <item x="9"/>
        <item x="53"/>
        <item x="35"/>
        <item x="54"/>
        <item x="104"/>
        <item x="148"/>
        <item x="78"/>
        <item x="147"/>
        <item x="171"/>
        <item t="default"/>
      </items>
    </pivotField>
    <pivotField showAll="0">
      <items count="7">
        <item x="2"/>
        <item x="1"/>
        <item x="4"/>
        <item x="0"/>
        <item x="3"/>
        <item x="5"/>
        <item t="default"/>
      </items>
    </pivotField>
    <pivotField showAll="0"/>
    <pivotField showAll="0">
      <items count="6">
        <item x="4"/>
        <item x="0"/>
        <item x="3"/>
        <item x="2"/>
        <item x="1"/>
        <item t="default"/>
      </items>
    </pivotField>
    <pivotField showAll="0"/>
    <pivotField showAll="0"/>
    <pivotField showAll="0"/>
    <pivotField showAll="0"/>
    <pivotField axis="axisRow" showAll="0" measureFilter="1" sortType="descending">
      <items count="153">
        <item x="30"/>
        <item x="101"/>
        <item x="51"/>
        <item x="73"/>
        <item x="132"/>
        <item x="148"/>
        <item x="49"/>
        <item x="37"/>
        <item x="89"/>
        <item x="147"/>
        <item x="10"/>
        <item x="146"/>
        <item x="142"/>
        <item x="85"/>
        <item x="15"/>
        <item x="127"/>
        <item x="35"/>
        <item x="34"/>
        <item x="3"/>
        <item x="6"/>
        <item x="120"/>
        <item x="117"/>
        <item x="102"/>
        <item x="55"/>
        <item x="72"/>
        <item x="134"/>
        <item x="2"/>
        <item x="62"/>
        <item x="83"/>
        <item x="103"/>
        <item x="87"/>
        <item x="91"/>
        <item x="61"/>
        <item x="18"/>
        <item x="69"/>
        <item x="44"/>
        <item x="77"/>
        <item x="94"/>
        <item x="106"/>
        <item x="28"/>
        <item x="17"/>
        <item x="100"/>
        <item x="39"/>
        <item x="92"/>
        <item x="126"/>
        <item x="43"/>
        <item x="88"/>
        <item x="41"/>
        <item x="16"/>
        <item x="139"/>
        <item x="71"/>
        <item x="29"/>
        <item x="136"/>
        <item x="114"/>
        <item x="110"/>
        <item x="45"/>
        <item x="119"/>
        <item x="66"/>
        <item x="149"/>
        <item x="104"/>
        <item x="115"/>
        <item x="32"/>
        <item x="0"/>
        <item x="26"/>
        <item x="52"/>
        <item x="23"/>
        <item x="75"/>
        <item x="27"/>
        <item x="1"/>
        <item x="12"/>
        <item x="25"/>
        <item x="14"/>
        <item x="31"/>
        <item x="38"/>
        <item x="53"/>
        <item x="40"/>
        <item x="33"/>
        <item x="21"/>
        <item x="67"/>
        <item x="81"/>
        <item x="141"/>
        <item x="124"/>
        <item x="48"/>
        <item x="68"/>
        <item x="93"/>
        <item x="140"/>
        <item x="9"/>
        <item x="74"/>
        <item x="58"/>
        <item x="36"/>
        <item x="135"/>
        <item x="63"/>
        <item x="99"/>
        <item x="105"/>
        <item x="107"/>
        <item x="42"/>
        <item x="8"/>
        <item x="122"/>
        <item x="19"/>
        <item x="113"/>
        <item x="24"/>
        <item x="86"/>
        <item x="70"/>
        <item x="129"/>
        <item x="109"/>
        <item x="96"/>
        <item x="22"/>
        <item x="128"/>
        <item x="82"/>
        <item x="144"/>
        <item x="47"/>
        <item x="13"/>
        <item x="50"/>
        <item x="76"/>
        <item x="4"/>
        <item x="123"/>
        <item x="150"/>
        <item x="116"/>
        <item x="65"/>
        <item x="125"/>
        <item x="138"/>
        <item x="97"/>
        <item x="20"/>
        <item x="112"/>
        <item x="78"/>
        <item x="59"/>
        <item x="56"/>
        <item x="108"/>
        <item x="143"/>
        <item x="133"/>
        <item x="98"/>
        <item x="7"/>
        <item x="95"/>
        <item x="11"/>
        <item x="80"/>
        <item x="111"/>
        <item x="60"/>
        <item x="84"/>
        <item x="5"/>
        <item x="64"/>
        <item x="118"/>
        <item x="90"/>
        <item x="137"/>
        <item x="54"/>
        <item x="46"/>
        <item x="151"/>
        <item x="57"/>
        <item x="79"/>
        <item x="145"/>
        <item x="121"/>
        <item x="131"/>
        <item x="1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
        <item x="2"/>
        <item x="1"/>
        <item x="3"/>
        <item x="0"/>
        <item t="default"/>
      </items>
    </pivotField>
    <pivotField numFmtId="1" showAll="0"/>
    <pivotField showAll="0"/>
    <pivotField showAll="0"/>
    <pivotField showAll="0"/>
    <pivotField showAll="0"/>
    <pivotField showAll="0"/>
    <pivotField showAll="0"/>
    <pivotField showAll="0"/>
    <pivotField numFmtId="10"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v="37"/>
    </i>
    <i>
      <x v="144"/>
    </i>
    <i>
      <x v="31"/>
    </i>
    <i>
      <x v="133"/>
    </i>
    <i>
      <x v="147"/>
    </i>
    <i t="grand">
      <x/>
    </i>
  </rowItems>
  <colItems count="1">
    <i/>
  </colItems>
  <dataFields count="1">
    <dataField name="Sum of Cost_Variance_NGN" fld="27" baseField="0" baseItem="0" numFmtId="165"/>
  </dataFields>
  <formats count="1">
    <format dxfId="9">
      <pivotArea outline="0" collapsedLevelsAreSubtotals="1" fieldPosition="0"/>
    </format>
  </formats>
  <pivotTableStyleInfo name="PivotStyleLight16" showRowHeaders="1" showColHeaders="1" showRowStripes="0" showColStripes="0" showLastColumn="1"/>
  <filters count="1">
    <filter fld="1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A15B7A-68E7-49A8-AE97-7D935A5459C6}"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9" firstHeaderRow="1" firstDataRow="1" firstDataCol="1"/>
  <pivotFields count="31">
    <pivotField showAll="0"/>
    <pivotField numFmtId="14" showAll="0"/>
    <pivotField numFmtId="14" showAll="0">
      <items count="177">
        <item x="42"/>
        <item x="81"/>
        <item x="69"/>
        <item x="3"/>
        <item x="153"/>
        <item x="50"/>
        <item x="17"/>
        <item x="20"/>
        <item x="51"/>
        <item x="156"/>
        <item x="52"/>
        <item x="29"/>
        <item x="19"/>
        <item x="75"/>
        <item x="146"/>
        <item x="131"/>
        <item x="106"/>
        <item x="76"/>
        <item x="172"/>
        <item x="72"/>
        <item x="116"/>
        <item x="80"/>
        <item x="58"/>
        <item x="24"/>
        <item x="93"/>
        <item x="55"/>
        <item x="59"/>
        <item x="129"/>
        <item x="5"/>
        <item x="161"/>
        <item x="67"/>
        <item x="91"/>
        <item x="94"/>
        <item x="99"/>
        <item x="138"/>
        <item x="13"/>
        <item x="151"/>
        <item x="97"/>
        <item x="65"/>
        <item x="109"/>
        <item x="166"/>
        <item x="163"/>
        <item x="12"/>
        <item x="112"/>
        <item x="175"/>
        <item x="6"/>
        <item x="122"/>
        <item x="169"/>
        <item x="114"/>
        <item x="127"/>
        <item x="96"/>
        <item x="84"/>
        <item x="82"/>
        <item x="105"/>
        <item x="77"/>
        <item x="120"/>
        <item x="18"/>
        <item x="124"/>
        <item x="89"/>
        <item x="71"/>
        <item x="113"/>
        <item x="132"/>
        <item x="60"/>
        <item x="49"/>
        <item x="165"/>
        <item x="0"/>
        <item x="88"/>
        <item x="28"/>
        <item x="125"/>
        <item x="57"/>
        <item x="46"/>
        <item x="74"/>
        <item x="43"/>
        <item x="100"/>
        <item x="135"/>
        <item x="23"/>
        <item x="8"/>
        <item x="92"/>
        <item x="139"/>
        <item x="63"/>
        <item x="47"/>
        <item x="173"/>
        <item x="27"/>
        <item x="62"/>
        <item x="40"/>
        <item x="83"/>
        <item x="95"/>
        <item x="45"/>
        <item x="48"/>
        <item x="144"/>
        <item x="110"/>
        <item x="70"/>
        <item x="103"/>
        <item x="149"/>
        <item x="4"/>
        <item x="160"/>
        <item x="118"/>
        <item x="108"/>
        <item x="142"/>
        <item x="7"/>
        <item x="115"/>
        <item x="101"/>
        <item x="107"/>
        <item x="130"/>
        <item x="39"/>
        <item x="79"/>
        <item x="14"/>
        <item x="164"/>
        <item x="136"/>
        <item x="64"/>
        <item x="87"/>
        <item x="133"/>
        <item x="30"/>
        <item x="1"/>
        <item x="32"/>
        <item x="36"/>
        <item x="126"/>
        <item x="121"/>
        <item x="15"/>
        <item x="170"/>
        <item x="145"/>
        <item x="90"/>
        <item x="167"/>
        <item x="68"/>
        <item x="38"/>
        <item x="119"/>
        <item x="98"/>
        <item x="154"/>
        <item x="111"/>
        <item x="117"/>
        <item x="141"/>
        <item x="157"/>
        <item x="56"/>
        <item x="66"/>
        <item x="34"/>
        <item x="10"/>
        <item x="86"/>
        <item x="123"/>
        <item x="155"/>
        <item x="11"/>
        <item x="16"/>
        <item x="174"/>
        <item x="25"/>
        <item x="33"/>
        <item x="159"/>
        <item x="128"/>
        <item x="168"/>
        <item x="61"/>
        <item x="44"/>
        <item x="137"/>
        <item x="143"/>
        <item x="162"/>
        <item x="102"/>
        <item x="85"/>
        <item x="22"/>
        <item x="150"/>
        <item x="140"/>
        <item x="134"/>
        <item x="31"/>
        <item x="41"/>
        <item x="158"/>
        <item x="73"/>
        <item x="37"/>
        <item x="2"/>
        <item x="21"/>
        <item x="152"/>
        <item x="26"/>
        <item x="9"/>
        <item x="53"/>
        <item x="35"/>
        <item x="54"/>
        <item x="104"/>
        <item x="148"/>
        <item x="78"/>
        <item x="147"/>
        <item x="171"/>
        <item t="default"/>
      </items>
    </pivotField>
    <pivotField showAll="0">
      <items count="7">
        <item x="2"/>
        <item x="1"/>
        <item x="4"/>
        <item x="0"/>
        <item x="3"/>
        <item x="5"/>
        <item t="default"/>
      </items>
    </pivotField>
    <pivotField showAll="0"/>
    <pivotField axis="axisRow" showAll="0" sortType="descending">
      <items count="6">
        <item x="4"/>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numFmtId="1" showAll="0"/>
    <pivotField showAll="0"/>
    <pivotField showAll="0"/>
    <pivotField showAll="0"/>
    <pivotField showAll="0"/>
    <pivotField showAll="0"/>
    <pivotField showAll="0"/>
    <pivotField showAll="0"/>
    <pivotField dataField="1" numFmtId="10"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v="4"/>
    </i>
    <i>
      <x v="3"/>
    </i>
    <i>
      <x v="2"/>
    </i>
    <i>
      <x v="1"/>
    </i>
    <i>
      <x/>
    </i>
    <i t="grand">
      <x/>
    </i>
  </rowItems>
  <colItems count="1">
    <i/>
  </colItems>
  <dataFields count="1">
    <dataField name="Average of Damage_Rate" fld="26" subtotal="average" baseField="5" baseItem="0" numFmtId="10"/>
  </dataFields>
  <formats count="1">
    <format dxfId="10">
      <pivotArea outline="0" collapsedLevelsAreSubtotals="1" fieldPosition="0"/>
    </format>
  </formats>
  <chartFormats count="7">
    <chartFormat chart="3"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5" count="1" selected="0">
            <x v="4"/>
          </reference>
        </references>
      </pivotArea>
    </chartFormat>
    <chartFormat chart="12" format="8">
      <pivotArea type="data" outline="0" fieldPosition="0">
        <references count="2">
          <reference field="4294967294" count="1" selected="0">
            <x v="0"/>
          </reference>
          <reference field="5" count="1" selected="0">
            <x v="3"/>
          </reference>
        </references>
      </pivotArea>
    </chartFormat>
    <chartFormat chart="12" format="9">
      <pivotArea type="data" outline="0" fieldPosition="0">
        <references count="2">
          <reference field="4294967294" count="1" selected="0">
            <x v="0"/>
          </reference>
          <reference field="5" count="1" selected="0">
            <x v="2"/>
          </reference>
        </references>
      </pivotArea>
    </chartFormat>
    <chartFormat chart="12" format="10">
      <pivotArea type="data" outline="0" fieldPosition="0">
        <references count="2">
          <reference field="4294967294" count="1" selected="0">
            <x v="0"/>
          </reference>
          <reference field="5" count="1" selected="0">
            <x v="1"/>
          </reference>
        </references>
      </pivotArea>
    </chartFormat>
    <chartFormat chart="12" format="1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22C451-FB46-41CC-9970-5E5FC1FEBE78}"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2:R8" firstHeaderRow="0" firstDataRow="1" firstDataCol="1"/>
  <pivotFields count="31">
    <pivotField dataField="1" showAll="0"/>
    <pivotField numFmtId="14" showAll="0"/>
    <pivotField numFmtId="14" showAll="0">
      <items count="177">
        <item x="42"/>
        <item x="81"/>
        <item x="69"/>
        <item x="3"/>
        <item x="153"/>
        <item x="50"/>
        <item x="17"/>
        <item x="20"/>
        <item x="51"/>
        <item x="156"/>
        <item x="52"/>
        <item x="29"/>
        <item x="19"/>
        <item x="75"/>
        <item x="146"/>
        <item x="131"/>
        <item x="106"/>
        <item x="76"/>
        <item x="172"/>
        <item x="72"/>
        <item x="116"/>
        <item x="80"/>
        <item x="58"/>
        <item x="24"/>
        <item x="93"/>
        <item x="55"/>
        <item x="59"/>
        <item x="129"/>
        <item x="5"/>
        <item x="161"/>
        <item x="67"/>
        <item x="91"/>
        <item x="94"/>
        <item x="99"/>
        <item x="138"/>
        <item x="13"/>
        <item x="151"/>
        <item x="97"/>
        <item x="65"/>
        <item x="109"/>
        <item x="166"/>
        <item x="163"/>
        <item x="12"/>
        <item x="112"/>
        <item x="175"/>
        <item x="6"/>
        <item x="122"/>
        <item x="169"/>
        <item x="114"/>
        <item x="127"/>
        <item x="96"/>
        <item x="84"/>
        <item x="82"/>
        <item x="105"/>
        <item x="77"/>
        <item x="120"/>
        <item x="18"/>
        <item x="124"/>
        <item x="89"/>
        <item x="71"/>
        <item x="113"/>
        <item x="132"/>
        <item x="60"/>
        <item x="49"/>
        <item x="165"/>
        <item x="0"/>
        <item x="88"/>
        <item x="28"/>
        <item x="125"/>
        <item x="57"/>
        <item x="46"/>
        <item x="74"/>
        <item x="43"/>
        <item x="100"/>
        <item x="135"/>
        <item x="23"/>
        <item x="8"/>
        <item x="92"/>
        <item x="139"/>
        <item x="63"/>
        <item x="47"/>
        <item x="173"/>
        <item x="27"/>
        <item x="62"/>
        <item x="40"/>
        <item x="83"/>
        <item x="95"/>
        <item x="45"/>
        <item x="48"/>
        <item x="144"/>
        <item x="110"/>
        <item x="70"/>
        <item x="103"/>
        <item x="149"/>
        <item x="4"/>
        <item x="160"/>
        <item x="118"/>
        <item x="108"/>
        <item x="142"/>
        <item x="7"/>
        <item x="115"/>
        <item x="101"/>
        <item x="107"/>
        <item x="130"/>
        <item x="39"/>
        <item x="79"/>
        <item x="14"/>
        <item x="164"/>
        <item x="136"/>
        <item x="64"/>
        <item x="87"/>
        <item x="133"/>
        <item x="30"/>
        <item x="1"/>
        <item x="32"/>
        <item x="36"/>
        <item x="126"/>
        <item x="121"/>
        <item x="15"/>
        <item x="170"/>
        <item x="145"/>
        <item x="90"/>
        <item x="167"/>
        <item x="68"/>
        <item x="38"/>
        <item x="119"/>
        <item x="98"/>
        <item x="154"/>
        <item x="111"/>
        <item x="117"/>
        <item x="141"/>
        <item x="157"/>
        <item x="56"/>
        <item x="66"/>
        <item x="34"/>
        <item x="10"/>
        <item x="86"/>
        <item x="123"/>
        <item x="155"/>
        <item x="11"/>
        <item x="16"/>
        <item x="174"/>
        <item x="25"/>
        <item x="33"/>
        <item x="159"/>
        <item x="128"/>
        <item x="168"/>
        <item x="61"/>
        <item x="44"/>
        <item x="137"/>
        <item x="143"/>
        <item x="162"/>
        <item x="102"/>
        <item x="85"/>
        <item x="22"/>
        <item x="150"/>
        <item x="140"/>
        <item x="134"/>
        <item x="31"/>
        <item x="41"/>
        <item x="158"/>
        <item x="73"/>
        <item x="37"/>
        <item x="2"/>
        <item x="21"/>
        <item x="152"/>
        <item x="26"/>
        <item x="9"/>
        <item x="53"/>
        <item x="35"/>
        <item x="54"/>
        <item x="104"/>
        <item x="148"/>
        <item x="78"/>
        <item x="147"/>
        <item x="171"/>
        <item t="default"/>
      </items>
    </pivotField>
    <pivotField showAll="0">
      <items count="7">
        <item x="2"/>
        <item x="1"/>
        <item x="4"/>
        <item x="0"/>
        <item x="3"/>
        <item x="5"/>
        <item t="default"/>
      </items>
    </pivotField>
    <pivotField showAll="0"/>
    <pivotField axis="axisRow" showAll="0" sortType="descending">
      <items count="6">
        <item x="4"/>
        <item x="0"/>
        <item x="3"/>
        <item x="2"/>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numFmtId="1" showAll="0"/>
    <pivotField showAll="0"/>
    <pivotField showAll="0"/>
    <pivotField showAll="0"/>
    <pivotField showAll="0"/>
    <pivotField showAll="0"/>
    <pivotField showAll="0"/>
    <pivotField dataField="1" showAll="0"/>
    <pivotField dataField="1" numFmtId="10" showAll="0"/>
    <pivotField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v="4"/>
    </i>
    <i>
      <x v="1"/>
    </i>
    <i>
      <x/>
    </i>
    <i>
      <x v="2"/>
    </i>
    <i>
      <x v="3"/>
    </i>
    <i t="grand">
      <x/>
    </i>
  </rowItems>
  <colFields count="1">
    <field x="-2"/>
  </colFields>
  <colItems count="4">
    <i>
      <x/>
    </i>
    <i i="1">
      <x v="1"/>
    </i>
    <i i="2">
      <x v="2"/>
    </i>
    <i i="3">
      <x v="3"/>
    </i>
  </colItems>
  <dataFields count="4">
    <dataField name="Count of Shipment_ID" fld="0" subtotal="count" baseField="0" baseItem="0" numFmtId="1"/>
    <dataField name="Average of On_Time_Flag" fld="25" subtotal="average" baseField="5" baseItem="0" numFmtId="9"/>
    <dataField name="Average of Damage_Rate" fld="26" subtotal="average" baseField="5" baseItem="3" numFmtId="10"/>
    <dataField name="Average of Cost_Variance_%" fld="28" subtotal="average" baseField="5" baseItem="3" numFmtId="10"/>
  </dataFields>
  <formats count="5">
    <format dxfId="15">
      <pivotArea outline="0" collapsedLevelsAreSubtotals="1" fieldPosition="0"/>
    </format>
    <format dxfId="14">
      <pivotArea outline="0" collapsedLevelsAreSubtotals="1" fieldPosition="0">
        <references count="1">
          <reference field="4294967294" count="1" selected="0">
            <x v="2"/>
          </reference>
        </references>
      </pivotArea>
    </format>
    <format dxfId="13">
      <pivotArea outline="0" collapsedLevelsAreSubtotals="1" fieldPosition="0">
        <references count="1">
          <reference field="4294967294" count="1" selected="0">
            <x v="1"/>
          </reference>
        </references>
      </pivotArea>
    </format>
    <format dxfId="12">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45E3C9-201E-41F8-A461-58D143EB40FA}"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0:B39" firstHeaderRow="1" firstDataRow="1" firstDataCol="1"/>
  <pivotFields count="31">
    <pivotField showAll="0"/>
    <pivotField numFmtId="14" showAll="0"/>
    <pivotField numFmtId="14" showAll="0">
      <items count="177">
        <item x="42"/>
        <item x="81"/>
        <item x="69"/>
        <item x="3"/>
        <item x="153"/>
        <item x="50"/>
        <item x="17"/>
        <item x="20"/>
        <item x="51"/>
        <item x="156"/>
        <item x="52"/>
        <item x="29"/>
        <item x="19"/>
        <item x="75"/>
        <item x="146"/>
        <item x="131"/>
        <item x="106"/>
        <item x="76"/>
        <item x="172"/>
        <item x="72"/>
        <item x="116"/>
        <item x="80"/>
        <item x="58"/>
        <item x="24"/>
        <item x="93"/>
        <item x="55"/>
        <item x="59"/>
        <item x="129"/>
        <item x="5"/>
        <item x="161"/>
        <item x="67"/>
        <item x="91"/>
        <item x="94"/>
        <item x="99"/>
        <item x="138"/>
        <item x="13"/>
        <item x="151"/>
        <item x="97"/>
        <item x="65"/>
        <item x="109"/>
        <item x="166"/>
        <item x="163"/>
        <item x="12"/>
        <item x="112"/>
        <item x="175"/>
        <item x="6"/>
        <item x="122"/>
        <item x="169"/>
        <item x="114"/>
        <item x="127"/>
        <item x="96"/>
        <item x="84"/>
        <item x="82"/>
        <item x="105"/>
        <item x="77"/>
        <item x="120"/>
        <item x="18"/>
        <item x="124"/>
        <item x="89"/>
        <item x="71"/>
        <item x="113"/>
        <item x="132"/>
        <item x="60"/>
        <item x="49"/>
        <item x="165"/>
        <item x="0"/>
        <item x="88"/>
        <item x="28"/>
        <item x="125"/>
        <item x="57"/>
        <item x="46"/>
        <item x="74"/>
        <item x="43"/>
        <item x="100"/>
        <item x="135"/>
        <item x="23"/>
        <item x="8"/>
        <item x="92"/>
        <item x="139"/>
        <item x="63"/>
        <item x="47"/>
        <item x="173"/>
        <item x="27"/>
        <item x="62"/>
        <item x="40"/>
        <item x="83"/>
        <item x="95"/>
        <item x="45"/>
        <item x="48"/>
        <item x="144"/>
        <item x="110"/>
        <item x="70"/>
        <item x="103"/>
        <item x="149"/>
        <item x="4"/>
        <item x="160"/>
        <item x="118"/>
        <item x="108"/>
        <item x="142"/>
        <item x="7"/>
        <item x="115"/>
        <item x="101"/>
        <item x="107"/>
        <item x="130"/>
        <item x="39"/>
        <item x="79"/>
        <item x="14"/>
        <item x="164"/>
        <item x="136"/>
        <item x="64"/>
        <item x="87"/>
        <item x="133"/>
        <item x="30"/>
        <item x="1"/>
        <item x="32"/>
        <item x="36"/>
        <item x="126"/>
        <item x="121"/>
        <item x="15"/>
        <item x="170"/>
        <item x="145"/>
        <item x="90"/>
        <item x="167"/>
        <item x="68"/>
        <item x="38"/>
        <item x="119"/>
        <item x="98"/>
        <item x="154"/>
        <item x="111"/>
        <item x="117"/>
        <item x="141"/>
        <item x="157"/>
        <item x="56"/>
        <item x="66"/>
        <item x="34"/>
        <item x="10"/>
        <item x="86"/>
        <item x="123"/>
        <item x="155"/>
        <item x="11"/>
        <item x="16"/>
        <item x="174"/>
        <item x="25"/>
        <item x="33"/>
        <item x="159"/>
        <item x="128"/>
        <item x="168"/>
        <item x="61"/>
        <item x="44"/>
        <item x="137"/>
        <item x="143"/>
        <item x="162"/>
        <item x="102"/>
        <item x="85"/>
        <item x="22"/>
        <item x="150"/>
        <item x="140"/>
        <item x="134"/>
        <item x="31"/>
        <item x="41"/>
        <item x="158"/>
        <item x="73"/>
        <item x="37"/>
        <item x="2"/>
        <item x="21"/>
        <item x="152"/>
        <item x="26"/>
        <item x="9"/>
        <item x="53"/>
        <item x="35"/>
        <item x="54"/>
        <item x="104"/>
        <item x="148"/>
        <item x="78"/>
        <item x="147"/>
        <item x="171"/>
        <item t="default"/>
      </items>
    </pivotField>
    <pivotField showAll="0">
      <items count="7">
        <item x="2"/>
        <item x="1"/>
        <item x="4"/>
        <item x="0"/>
        <item x="3"/>
        <item x="5"/>
        <item t="default"/>
      </items>
    </pivotField>
    <pivotField axis="axisRow" showAll="0">
      <items count="9">
        <item x="0"/>
        <item x="1"/>
        <item x="5"/>
        <item x="6"/>
        <item x="2"/>
        <item x="3"/>
        <item x="4"/>
        <item x="7"/>
        <item t="default"/>
      </items>
    </pivotField>
    <pivotField showAll="0">
      <items count="6">
        <item x="4"/>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numFmtId="1" showAll="0"/>
    <pivotField showAll="0"/>
    <pivotField showAll="0"/>
    <pivotField dataField="1" showAll="0"/>
    <pivotField showAll="0"/>
    <pivotField showAll="0"/>
    <pivotField showAll="0"/>
    <pivotField showAll="0"/>
    <pivotField numFmtId="10"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Average of Delay_Days" fld="21" subtotal="average" baseField="17" baseItem="0" numFmtId="2"/>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906316-1D0F-485B-93B0-C748359E540C}"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5:B20" firstHeaderRow="1" firstDataRow="1" firstDataCol="1"/>
  <pivotFields count="31">
    <pivotField showAll="0"/>
    <pivotField numFmtId="14" showAll="0"/>
    <pivotField numFmtId="14" showAll="0">
      <items count="177">
        <item x="42"/>
        <item x="81"/>
        <item x="69"/>
        <item x="3"/>
        <item x="153"/>
        <item x="50"/>
        <item x="17"/>
        <item x="20"/>
        <item x="51"/>
        <item x="156"/>
        <item x="52"/>
        <item x="29"/>
        <item x="19"/>
        <item x="75"/>
        <item x="146"/>
        <item x="131"/>
        <item x="106"/>
        <item x="76"/>
        <item x="172"/>
        <item x="72"/>
        <item x="116"/>
        <item x="80"/>
        <item x="58"/>
        <item x="24"/>
        <item x="93"/>
        <item x="55"/>
        <item x="59"/>
        <item x="129"/>
        <item x="5"/>
        <item x="161"/>
        <item x="67"/>
        <item x="91"/>
        <item x="94"/>
        <item x="99"/>
        <item x="138"/>
        <item x="13"/>
        <item x="151"/>
        <item x="97"/>
        <item x="65"/>
        <item x="109"/>
        <item x="166"/>
        <item x="163"/>
        <item x="12"/>
        <item x="112"/>
        <item x="175"/>
        <item x="6"/>
        <item x="122"/>
        <item x="169"/>
        <item x="114"/>
        <item x="127"/>
        <item x="96"/>
        <item x="84"/>
        <item x="82"/>
        <item x="105"/>
        <item x="77"/>
        <item x="120"/>
        <item x="18"/>
        <item x="124"/>
        <item x="89"/>
        <item x="71"/>
        <item x="113"/>
        <item x="132"/>
        <item x="60"/>
        <item x="49"/>
        <item x="165"/>
        <item x="0"/>
        <item x="88"/>
        <item x="28"/>
        <item x="125"/>
        <item x="57"/>
        <item x="46"/>
        <item x="74"/>
        <item x="43"/>
        <item x="100"/>
        <item x="135"/>
        <item x="23"/>
        <item x="8"/>
        <item x="92"/>
        <item x="139"/>
        <item x="63"/>
        <item x="47"/>
        <item x="173"/>
        <item x="27"/>
        <item x="62"/>
        <item x="40"/>
        <item x="83"/>
        <item x="95"/>
        <item x="45"/>
        <item x="48"/>
        <item x="144"/>
        <item x="110"/>
        <item x="70"/>
        <item x="103"/>
        <item x="149"/>
        <item x="4"/>
        <item x="160"/>
        <item x="118"/>
        <item x="108"/>
        <item x="142"/>
        <item x="7"/>
        <item x="115"/>
        <item x="101"/>
        <item x="107"/>
        <item x="130"/>
        <item x="39"/>
        <item x="79"/>
        <item x="14"/>
        <item x="164"/>
        <item x="136"/>
        <item x="64"/>
        <item x="87"/>
        <item x="133"/>
        <item x="30"/>
        <item x="1"/>
        <item x="32"/>
        <item x="36"/>
        <item x="126"/>
        <item x="121"/>
        <item x="15"/>
        <item x="170"/>
        <item x="145"/>
        <item x="90"/>
        <item x="167"/>
        <item x="68"/>
        <item x="38"/>
        <item x="119"/>
        <item x="98"/>
        <item x="154"/>
        <item x="111"/>
        <item x="117"/>
        <item x="141"/>
        <item x="157"/>
        <item x="56"/>
        <item x="66"/>
        <item x="34"/>
        <item x="10"/>
        <item x="86"/>
        <item x="123"/>
        <item x="155"/>
        <item x="11"/>
        <item x="16"/>
        <item x="174"/>
        <item x="25"/>
        <item x="33"/>
        <item x="159"/>
        <item x="128"/>
        <item x="168"/>
        <item x="61"/>
        <item x="44"/>
        <item x="137"/>
        <item x="143"/>
        <item x="162"/>
        <item x="102"/>
        <item x="85"/>
        <item x="22"/>
        <item x="150"/>
        <item x="140"/>
        <item x="134"/>
        <item x="31"/>
        <item x="41"/>
        <item x="158"/>
        <item x="73"/>
        <item x="37"/>
        <item x="2"/>
        <item x="21"/>
        <item x="152"/>
        <item x="26"/>
        <item x="9"/>
        <item x="53"/>
        <item x="35"/>
        <item x="54"/>
        <item x="104"/>
        <item x="148"/>
        <item x="78"/>
        <item x="147"/>
        <item x="171"/>
        <item t="default"/>
      </items>
    </pivotField>
    <pivotField showAll="0">
      <items count="7">
        <item x="2"/>
        <item x="1"/>
        <item x="4"/>
        <item x="0"/>
        <item x="3"/>
        <item x="5"/>
        <item t="default"/>
      </items>
    </pivotField>
    <pivotField showAll="0"/>
    <pivotField showAll="0">
      <items count="6">
        <item x="4"/>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numFmtId="1" showAll="0"/>
    <pivotField showAll="0"/>
    <pivotField showAll="0"/>
    <pivotField dataField="1" showAll="0"/>
    <pivotField showAll="0"/>
    <pivotField showAll="0"/>
    <pivotField showAll="0"/>
    <pivotField showAll="0"/>
    <pivotField numFmtId="10"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5">
    <i>
      <x/>
    </i>
    <i>
      <x v="1"/>
    </i>
    <i>
      <x v="2"/>
    </i>
    <i>
      <x v="3"/>
    </i>
    <i t="grand">
      <x/>
    </i>
  </rowItems>
  <colItems count="1">
    <i/>
  </colItems>
  <dataFields count="1">
    <dataField name="Average of Delay_Days" fld="21" subtotal="average" baseField="17" baseItem="0" numFmtId="2"/>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88AE87-653F-4786-884D-32AF97475034}"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43:G283" firstHeaderRow="1" firstDataRow="1" firstDataCol="1"/>
  <pivotFields count="31">
    <pivotField showAll="0"/>
    <pivotField numFmtId="14" showAll="0"/>
    <pivotField numFmtId="14" showAll="0">
      <items count="177">
        <item x="42"/>
        <item x="81"/>
        <item x="69"/>
        <item x="3"/>
        <item x="153"/>
        <item x="50"/>
        <item x="17"/>
        <item x="20"/>
        <item x="51"/>
        <item x="156"/>
        <item x="52"/>
        <item x="29"/>
        <item x="19"/>
        <item x="75"/>
        <item x="146"/>
        <item x="131"/>
        <item x="106"/>
        <item x="76"/>
        <item x="172"/>
        <item x="72"/>
        <item x="116"/>
        <item x="80"/>
        <item x="58"/>
        <item x="24"/>
        <item x="93"/>
        <item x="55"/>
        <item x="59"/>
        <item x="129"/>
        <item x="5"/>
        <item x="161"/>
        <item x="67"/>
        <item x="91"/>
        <item x="94"/>
        <item x="99"/>
        <item x="138"/>
        <item x="13"/>
        <item x="151"/>
        <item x="97"/>
        <item x="65"/>
        <item x="109"/>
        <item x="166"/>
        <item x="163"/>
        <item x="12"/>
        <item x="112"/>
        <item x="175"/>
        <item x="6"/>
        <item x="122"/>
        <item x="169"/>
        <item x="114"/>
        <item x="127"/>
        <item x="96"/>
        <item x="84"/>
        <item x="82"/>
        <item x="105"/>
        <item x="77"/>
        <item x="120"/>
        <item x="18"/>
        <item x="124"/>
        <item x="89"/>
        <item x="71"/>
        <item x="113"/>
        <item x="132"/>
        <item x="60"/>
        <item x="49"/>
        <item x="165"/>
        <item x="0"/>
        <item x="88"/>
        <item x="28"/>
        <item x="125"/>
        <item x="57"/>
        <item x="46"/>
        <item x="74"/>
        <item x="43"/>
        <item x="100"/>
        <item x="135"/>
        <item x="23"/>
        <item x="8"/>
        <item x="92"/>
        <item x="139"/>
        <item x="63"/>
        <item x="47"/>
        <item x="173"/>
        <item x="27"/>
        <item x="62"/>
        <item x="40"/>
        <item x="83"/>
        <item x="95"/>
        <item x="45"/>
        <item x="48"/>
        <item x="144"/>
        <item x="110"/>
        <item x="70"/>
        <item x="103"/>
        <item x="149"/>
        <item x="4"/>
        <item x="160"/>
        <item x="118"/>
        <item x="108"/>
        <item x="142"/>
        <item x="7"/>
        <item x="115"/>
        <item x="101"/>
        <item x="107"/>
        <item x="130"/>
        <item x="39"/>
        <item x="79"/>
        <item x="14"/>
        <item x="164"/>
        <item x="136"/>
        <item x="64"/>
        <item x="87"/>
        <item x="133"/>
        <item x="30"/>
        <item x="1"/>
        <item x="32"/>
        <item x="36"/>
        <item x="126"/>
        <item x="121"/>
        <item x="15"/>
        <item x="170"/>
        <item x="145"/>
        <item x="90"/>
        <item x="167"/>
        <item x="68"/>
        <item x="38"/>
        <item x="119"/>
        <item x="98"/>
        <item x="154"/>
        <item x="111"/>
        <item x="117"/>
        <item x="141"/>
        <item x="157"/>
        <item x="56"/>
        <item x="66"/>
        <item x="34"/>
        <item x="10"/>
        <item x="86"/>
        <item x="123"/>
        <item x="155"/>
        <item x="11"/>
        <item x="16"/>
        <item x="174"/>
        <item x="25"/>
        <item x="33"/>
        <item x="159"/>
        <item x="128"/>
        <item x="168"/>
        <item x="61"/>
        <item x="44"/>
        <item x="137"/>
        <item x="143"/>
        <item x="162"/>
        <item x="102"/>
        <item x="85"/>
        <item x="22"/>
        <item x="150"/>
        <item x="140"/>
        <item x="134"/>
        <item x="31"/>
        <item x="41"/>
        <item x="158"/>
        <item x="73"/>
        <item x="37"/>
        <item x="2"/>
        <item x="21"/>
        <item x="152"/>
        <item x="26"/>
        <item x="9"/>
        <item x="53"/>
        <item x="35"/>
        <item x="54"/>
        <item x="104"/>
        <item x="148"/>
        <item x="78"/>
        <item x="147"/>
        <item x="171"/>
        <item t="default"/>
      </items>
    </pivotField>
    <pivotField showAll="0">
      <items count="7">
        <item x="2"/>
        <item x="1"/>
        <item x="4"/>
        <item x="0"/>
        <item x="3"/>
        <item x="5"/>
        <item t="default"/>
      </items>
    </pivotField>
    <pivotField showAll="0"/>
    <pivotField showAll="0">
      <items count="6">
        <item x="4"/>
        <item x="0"/>
        <item x="3"/>
        <item x="2"/>
        <item x="1"/>
        <item t="default"/>
      </items>
    </pivotField>
    <pivotField showAll="0"/>
    <pivotField showAll="0"/>
    <pivotField showAll="0"/>
    <pivotField showAll="0"/>
    <pivotField showAll="0"/>
    <pivotField showAll="0"/>
    <pivotField showAll="0"/>
    <pivotField showAll="0"/>
    <pivotField showAll="0"/>
    <pivotField axis="axisRow" showAll="0">
      <items count="240">
        <item x="45"/>
        <item x="119"/>
        <item x="199"/>
        <item x="210"/>
        <item x="165"/>
        <item x="66"/>
        <item x="83"/>
        <item x="238"/>
        <item x="185"/>
        <item x="71"/>
        <item x="150"/>
        <item x="97"/>
        <item x="183"/>
        <item x="153"/>
        <item x="173"/>
        <item x="110"/>
        <item x="9"/>
        <item x="117"/>
        <item x="7"/>
        <item x="5"/>
        <item x="73"/>
        <item x="72"/>
        <item x="76"/>
        <item x="109"/>
        <item x="129"/>
        <item x="51"/>
        <item x="147"/>
        <item x="184"/>
        <item x="115"/>
        <item x="130"/>
        <item x="179"/>
        <item x="196"/>
        <item x="178"/>
        <item x="142"/>
        <item x="136"/>
        <item x="209"/>
        <item x="77"/>
        <item x="49"/>
        <item x="94"/>
        <item x="101"/>
        <item x="58"/>
        <item x="162"/>
        <item x="159"/>
        <item x="231"/>
        <item x="205"/>
        <item x="22"/>
        <item x="227"/>
        <item x="19"/>
        <item x="48"/>
        <item x="194"/>
        <item x="35"/>
        <item x="113"/>
        <item x="43"/>
        <item x="181"/>
        <item x="15"/>
        <item x="18"/>
        <item x="144"/>
        <item x="1"/>
        <item x="203"/>
        <item x="187"/>
        <item x="41"/>
        <item x="145"/>
        <item x="107"/>
        <item x="198"/>
        <item x="128"/>
        <item x="63"/>
        <item x="226"/>
        <item x="125"/>
        <item x="189"/>
        <item x="138"/>
        <item x="65"/>
        <item x="111"/>
        <item x="8"/>
        <item x="163"/>
        <item x="102"/>
        <item x="140"/>
        <item x="143"/>
        <item x="100"/>
        <item x="155"/>
        <item x="89"/>
        <item x="87"/>
        <item x="42"/>
        <item x="131"/>
        <item x="236"/>
        <item x="40"/>
        <item x="75"/>
        <item x="132"/>
        <item x="96"/>
        <item x="95"/>
        <item x="158"/>
        <item x="108"/>
        <item x="193"/>
        <item x="62"/>
        <item x="160"/>
        <item x="25"/>
        <item x="47"/>
        <item x="212"/>
        <item x="57"/>
        <item x="67"/>
        <item x="164"/>
        <item x="74"/>
        <item x="169"/>
        <item x="222"/>
        <item x="228"/>
        <item x="70"/>
        <item x="91"/>
        <item x="26"/>
        <item x="195"/>
        <item x="90"/>
        <item x="11"/>
        <item x="38"/>
        <item x="148"/>
        <item x="3"/>
        <item x="55"/>
        <item x="211"/>
        <item x="112"/>
        <item x="154"/>
        <item x="88"/>
        <item x="124"/>
        <item x="177"/>
        <item x="216"/>
        <item x="208"/>
        <item x="103"/>
        <item x="152"/>
        <item x="27"/>
        <item x="118"/>
        <item x="149"/>
        <item x="13"/>
        <item x="17"/>
        <item x="224"/>
        <item x="64"/>
        <item x="201"/>
        <item x="174"/>
        <item x="123"/>
        <item x="219"/>
        <item x="175"/>
        <item x="105"/>
        <item x="86"/>
        <item x="32"/>
        <item x="202"/>
        <item x="23"/>
        <item x="127"/>
        <item x="81"/>
        <item x="133"/>
        <item x="84"/>
        <item x="151"/>
        <item x="218"/>
        <item x="12"/>
        <item x="82"/>
        <item x="176"/>
        <item x="230"/>
        <item x="166"/>
        <item x="223"/>
        <item x="204"/>
        <item x="44"/>
        <item x="99"/>
        <item x="98"/>
        <item x="156"/>
        <item x="190"/>
        <item x="54"/>
        <item x="141"/>
        <item x="217"/>
        <item x="182"/>
        <item x="10"/>
        <item x="161"/>
        <item x="192"/>
        <item x="106"/>
        <item x="232"/>
        <item x="2"/>
        <item x="207"/>
        <item x="92"/>
        <item x="60"/>
        <item x="157"/>
        <item x="78"/>
        <item x="114"/>
        <item x="213"/>
        <item x="180"/>
        <item x="20"/>
        <item x="14"/>
        <item x="16"/>
        <item x="0"/>
        <item x="234"/>
        <item x="85"/>
        <item x="167"/>
        <item x="68"/>
        <item x="53"/>
        <item x="146"/>
        <item x="126"/>
        <item x="120"/>
        <item x="200"/>
        <item x="52"/>
        <item x="6"/>
        <item x="121"/>
        <item x="24"/>
        <item x="170"/>
        <item x="134"/>
        <item x="69"/>
        <item x="93"/>
        <item x="225"/>
        <item x="197"/>
        <item x="59"/>
        <item x="30"/>
        <item x="233"/>
        <item x="33"/>
        <item x="215"/>
        <item x="122"/>
        <item x="135"/>
        <item x="56"/>
        <item x="137"/>
        <item x="34"/>
        <item x="206"/>
        <item x="31"/>
        <item x="104"/>
        <item x="46"/>
        <item x="80"/>
        <item x="21"/>
        <item x="171"/>
        <item x="29"/>
        <item x="229"/>
        <item x="214"/>
        <item x="172"/>
        <item x="4"/>
        <item x="191"/>
        <item x="116"/>
        <item x="61"/>
        <item x="139"/>
        <item x="237"/>
        <item x="50"/>
        <item x="28"/>
        <item x="36"/>
        <item x="37"/>
        <item x="188"/>
        <item x="235"/>
        <item x="39"/>
        <item x="186"/>
        <item x="168"/>
        <item x="220"/>
        <item x="79"/>
        <item x="221"/>
        <item t="default"/>
      </items>
    </pivotField>
    <pivotField showAll="0"/>
    <pivotField showAll="0">
      <items count="5">
        <item x="2"/>
        <item x="1"/>
        <item x="3"/>
        <item x="0"/>
        <item t="default"/>
      </items>
    </pivotField>
    <pivotField numFmtId="1" showAll="0"/>
    <pivotField showAll="0"/>
    <pivotField showAll="0"/>
    <pivotField showAll="0"/>
    <pivotField dataField="1" showAll="0"/>
    <pivotField showAll="0"/>
    <pivotField showAll="0"/>
    <pivotField showAll="0"/>
    <pivotField numFmtId="10"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2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t="grand">
      <x/>
    </i>
  </rowItems>
  <colItems count="1">
    <i/>
  </colItems>
  <dataFields count="1">
    <dataField name="Sum of Freight_Cost_NGN" fld="22" baseField="0" baseItem="0" numFmtId="165"/>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8C8AA4F-F4B8-44C1-8B60-D3BF3429B47E}"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7:C63" firstHeaderRow="0" firstDataRow="1" firstDataCol="1"/>
  <pivotFields count="31">
    <pivotField showAll="0"/>
    <pivotField numFmtId="14" showAll="0"/>
    <pivotField numFmtId="14" showAll="0">
      <items count="177">
        <item x="42"/>
        <item x="81"/>
        <item x="69"/>
        <item x="3"/>
        <item x="153"/>
        <item x="50"/>
        <item x="17"/>
        <item x="20"/>
        <item x="51"/>
        <item x="156"/>
        <item x="52"/>
        <item x="29"/>
        <item x="19"/>
        <item x="75"/>
        <item x="146"/>
        <item x="131"/>
        <item x="106"/>
        <item x="76"/>
        <item x="172"/>
        <item x="72"/>
        <item x="116"/>
        <item x="80"/>
        <item x="58"/>
        <item x="24"/>
        <item x="93"/>
        <item x="55"/>
        <item x="59"/>
        <item x="129"/>
        <item x="5"/>
        <item x="161"/>
        <item x="67"/>
        <item x="91"/>
        <item x="94"/>
        <item x="99"/>
        <item x="138"/>
        <item x="13"/>
        <item x="151"/>
        <item x="97"/>
        <item x="65"/>
        <item x="109"/>
        <item x="166"/>
        <item x="163"/>
        <item x="12"/>
        <item x="112"/>
        <item x="175"/>
        <item x="6"/>
        <item x="122"/>
        <item x="169"/>
        <item x="114"/>
        <item x="127"/>
        <item x="96"/>
        <item x="84"/>
        <item x="82"/>
        <item x="105"/>
        <item x="77"/>
        <item x="120"/>
        <item x="18"/>
        <item x="124"/>
        <item x="89"/>
        <item x="71"/>
        <item x="113"/>
        <item x="132"/>
        <item x="60"/>
        <item x="49"/>
        <item x="165"/>
        <item x="0"/>
        <item x="88"/>
        <item x="28"/>
        <item x="125"/>
        <item x="57"/>
        <item x="46"/>
        <item x="74"/>
        <item x="43"/>
        <item x="100"/>
        <item x="135"/>
        <item x="23"/>
        <item x="8"/>
        <item x="92"/>
        <item x="139"/>
        <item x="63"/>
        <item x="47"/>
        <item x="173"/>
        <item x="27"/>
        <item x="62"/>
        <item x="40"/>
        <item x="83"/>
        <item x="95"/>
        <item x="45"/>
        <item x="48"/>
        <item x="144"/>
        <item x="110"/>
        <item x="70"/>
        <item x="103"/>
        <item x="149"/>
        <item x="4"/>
        <item x="160"/>
        <item x="118"/>
        <item x="108"/>
        <item x="142"/>
        <item x="7"/>
        <item x="115"/>
        <item x="101"/>
        <item x="107"/>
        <item x="130"/>
        <item x="39"/>
        <item x="79"/>
        <item x="14"/>
        <item x="164"/>
        <item x="136"/>
        <item x="64"/>
        <item x="87"/>
        <item x="133"/>
        <item x="30"/>
        <item x="1"/>
        <item x="32"/>
        <item x="36"/>
        <item x="126"/>
        <item x="121"/>
        <item x="15"/>
        <item x="170"/>
        <item x="145"/>
        <item x="90"/>
        <item x="167"/>
        <item x="68"/>
        <item x="38"/>
        <item x="119"/>
        <item x="98"/>
        <item x="154"/>
        <item x="111"/>
        <item x="117"/>
        <item x="141"/>
        <item x="157"/>
        <item x="56"/>
        <item x="66"/>
        <item x="34"/>
        <item x="10"/>
        <item x="86"/>
        <item x="123"/>
        <item x="155"/>
        <item x="11"/>
        <item x="16"/>
        <item x="174"/>
        <item x="25"/>
        <item x="33"/>
        <item x="159"/>
        <item x="128"/>
        <item x="168"/>
        <item x="61"/>
        <item x="44"/>
        <item x="137"/>
        <item x="143"/>
        <item x="162"/>
        <item x="102"/>
        <item x="85"/>
        <item x="22"/>
        <item x="150"/>
        <item x="140"/>
        <item x="134"/>
        <item x="31"/>
        <item x="41"/>
        <item x="158"/>
        <item x="73"/>
        <item x="37"/>
        <item x="2"/>
        <item x="21"/>
        <item x="152"/>
        <item x="26"/>
        <item x="9"/>
        <item x="53"/>
        <item x="35"/>
        <item x="54"/>
        <item x="104"/>
        <item x="148"/>
        <item x="78"/>
        <item x="147"/>
        <item x="171"/>
        <item t="default"/>
      </items>
    </pivotField>
    <pivotField showAll="0">
      <items count="7">
        <item x="2"/>
        <item x="1"/>
        <item x="4"/>
        <item x="0"/>
        <item x="3"/>
        <item x="5"/>
        <item t="default"/>
      </items>
    </pivotField>
    <pivotField showAll="0"/>
    <pivotField axis="axisRow" showAll="0">
      <items count="6">
        <item x="4"/>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numFmtId="1" showAll="0"/>
    <pivotField showAll="0"/>
    <pivotField showAll="0"/>
    <pivotField showAll="0"/>
    <pivotField dataField="1" showAll="0"/>
    <pivotField dataField="1" showAll="0"/>
    <pivotField showAll="0"/>
    <pivotField showAll="0"/>
    <pivotField numFmtId="10"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Fields count="1">
    <field x="-2"/>
  </colFields>
  <colItems count="2">
    <i>
      <x/>
    </i>
    <i i="1">
      <x v="1"/>
    </i>
  </colItems>
  <dataFields count="2">
    <dataField name="Sum of Budgeted_Freight_NGN" fld="23" baseField="0" baseItem="0"/>
    <dataField name="Sum of Freight_Cost_NGN" fld="22" baseField="0" baseItem="0"/>
  </dataFields>
  <formats count="1">
    <format dxfId="19">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CE7561E-AB74-4482-A259-AC583CFBA556}"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6:B219" firstHeaderRow="1" firstDataRow="1" firstDataCol="1"/>
  <pivotFields count="31">
    <pivotField showAll="0"/>
    <pivotField numFmtId="14" showAll="0"/>
    <pivotField numFmtId="14" showAll="0">
      <items count="177">
        <item x="42"/>
        <item x="81"/>
        <item x="69"/>
        <item x="3"/>
        <item x="153"/>
        <item x="50"/>
        <item x="17"/>
        <item x="20"/>
        <item x="51"/>
        <item x="156"/>
        <item x="52"/>
        <item x="29"/>
        <item x="19"/>
        <item x="75"/>
        <item x="146"/>
        <item x="131"/>
        <item x="106"/>
        <item x="76"/>
        <item x="172"/>
        <item x="72"/>
        <item x="116"/>
        <item x="80"/>
        <item x="58"/>
        <item x="24"/>
        <item x="93"/>
        <item x="55"/>
        <item x="59"/>
        <item x="129"/>
        <item x="5"/>
        <item x="161"/>
        <item x="67"/>
        <item x="91"/>
        <item x="94"/>
        <item x="99"/>
        <item x="138"/>
        <item x="13"/>
        <item x="151"/>
        <item x="97"/>
        <item x="65"/>
        <item x="109"/>
        <item x="166"/>
        <item x="163"/>
        <item x="12"/>
        <item x="112"/>
        <item x="175"/>
        <item x="6"/>
        <item x="122"/>
        <item x="169"/>
        <item x="114"/>
        <item x="127"/>
        <item x="96"/>
        <item x="84"/>
        <item x="82"/>
        <item x="105"/>
        <item x="77"/>
        <item x="120"/>
        <item x="18"/>
        <item x="124"/>
        <item x="89"/>
        <item x="71"/>
        <item x="113"/>
        <item x="132"/>
        <item x="60"/>
        <item x="49"/>
        <item x="165"/>
        <item x="0"/>
        <item x="88"/>
        <item x="28"/>
        <item x="125"/>
        <item x="57"/>
        <item x="46"/>
        <item x="74"/>
        <item x="43"/>
        <item x="100"/>
        <item x="135"/>
        <item x="23"/>
        <item x="8"/>
        <item x="92"/>
        <item x="139"/>
        <item x="63"/>
        <item x="47"/>
        <item x="173"/>
        <item x="27"/>
        <item x="62"/>
        <item x="40"/>
        <item x="83"/>
        <item x="95"/>
        <item x="45"/>
        <item x="48"/>
        <item x="144"/>
        <item x="110"/>
        <item x="70"/>
        <item x="103"/>
        <item x="149"/>
        <item x="4"/>
        <item x="160"/>
        <item x="118"/>
        <item x="108"/>
        <item x="142"/>
        <item x="7"/>
        <item x="115"/>
        <item x="101"/>
        <item x="107"/>
        <item x="130"/>
        <item x="39"/>
        <item x="79"/>
        <item x="14"/>
        <item x="164"/>
        <item x="136"/>
        <item x="64"/>
        <item x="87"/>
        <item x="133"/>
        <item x="30"/>
        <item x="1"/>
        <item x="32"/>
        <item x="36"/>
        <item x="126"/>
        <item x="121"/>
        <item x="15"/>
        <item x="170"/>
        <item x="145"/>
        <item x="90"/>
        <item x="167"/>
        <item x="68"/>
        <item x="38"/>
        <item x="119"/>
        <item x="98"/>
        <item x="154"/>
        <item x="111"/>
        <item x="117"/>
        <item x="141"/>
        <item x="157"/>
        <item x="56"/>
        <item x="66"/>
        <item x="34"/>
        <item x="10"/>
        <item x="86"/>
        <item x="123"/>
        <item x="155"/>
        <item x="11"/>
        <item x="16"/>
        <item x="174"/>
        <item x="25"/>
        <item x="33"/>
        <item x="159"/>
        <item x="128"/>
        <item x="168"/>
        <item x="61"/>
        <item x="44"/>
        <item x="137"/>
        <item x="143"/>
        <item x="162"/>
        <item x="102"/>
        <item x="85"/>
        <item x="22"/>
        <item x="150"/>
        <item x="140"/>
        <item x="134"/>
        <item x="31"/>
        <item x="41"/>
        <item x="158"/>
        <item x="73"/>
        <item x="37"/>
        <item x="2"/>
        <item x="21"/>
        <item x="152"/>
        <item x="26"/>
        <item x="9"/>
        <item x="53"/>
        <item x="35"/>
        <item x="54"/>
        <item x="104"/>
        <item x="148"/>
        <item x="78"/>
        <item x="147"/>
        <item x="171"/>
        <item t="default"/>
      </items>
    </pivotField>
    <pivotField showAll="0">
      <items count="7">
        <item x="2"/>
        <item x="1"/>
        <item x="4"/>
        <item x="0"/>
        <item x="3"/>
        <item x="5"/>
        <item t="default"/>
      </items>
    </pivotField>
    <pivotField showAll="0"/>
    <pivotField showAll="0">
      <items count="6">
        <item x="4"/>
        <item x="0"/>
        <item x="3"/>
        <item x="2"/>
        <item x="1"/>
        <item t="default"/>
      </items>
    </pivotField>
    <pivotField showAll="0"/>
    <pivotField showAll="0"/>
    <pivotField showAll="0"/>
    <pivotField showAll="0"/>
    <pivotField axis="axisRow" showAll="0">
      <items count="153">
        <item x="30"/>
        <item x="101"/>
        <item x="51"/>
        <item x="73"/>
        <item x="132"/>
        <item x="148"/>
        <item x="49"/>
        <item x="37"/>
        <item x="89"/>
        <item x="147"/>
        <item x="10"/>
        <item x="146"/>
        <item x="142"/>
        <item x="85"/>
        <item x="15"/>
        <item x="127"/>
        <item x="35"/>
        <item x="34"/>
        <item x="3"/>
        <item x="6"/>
        <item x="120"/>
        <item x="117"/>
        <item x="102"/>
        <item x="55"/>
        <item x="72"/>
        <item x="134"/>
        <item x="2"/>
        <item x="62"/>
        <item x="83"/>
        <item x="103"/>
        <item x="87"/>
        <item x="91"/>
        <item x="61"/>
        <item x="18"/>
        <item x="69"/>
        <item x="44"/>
        <item x="77"/>
        <item x="94"/>
        <item x="106"/>
        <item x="28"/>
        <item x="17"/>
        <item x="100"/>
        <item x="39"/>
        <item x="92"/>
        <item x="126"/>
        <item x="43"/>
        <item x="88"/>
        <item x="41"/>
        <item x="16"/>
        <item x="139"/>
        <item x="71"/>
        <item x="29"/>
        <item x="136"/>
        <item x="114"/>
        <item x="110"/>
        <item x="45"/>
        <item x="119"/>
        <item x="66"/>
        <item x="149"/>
        <item x="104"/>
        <item x="115"/>
        <item x="32"/>
        <item x="0"/>
        <item x="26"/>
        <item x="52"/>
        <item x="23"/>
        <item x="75"/>
        <item x="27"/>
        <item x="1"/>
        <item x="12"/>
        <item x="25"/>
        <item x="14"/>
        <item x="31"/>
        <item x="38"/>
        <item x="53"/>
        <item x="40"/>
        <item x="33"/>
        <item x="21"/>
        <item x="67"/>
        <item x="81"/>
        <item x="141"/>
        <item x="124"/>
        <item x="48"/>
        <item x="68"/>
        <item x="93"/>
        <item x="140"/>
        <item x="9"/>
        <item x="74"/>
        <item x="58"/>
        <item x="36"/>
        <item x="135"/>
        <item x="63"/>
        <item x="99"/>
        <item x="105"/>
        <item x="107"/>
        <item x="42"/>
        <item x="8"/>
        <item x="122"/>
        <item x="19"/>
        <item x="113"/>
        <item x="24"/>
        <item x="86"/>
        <item x="70"/>
        <item x="129"/>
        <item x="109"/>
        <item x="96"/>
        <item x="22"/>
        <item x="128"/>
        <item x="82"/>
        <item x="144"/>
        <item x="47"/>
        <item x="13"/>
        <item x="50"/>
        <item x="76"/>
        <item x="4"/>
        <item x="123"/>
        <item x="150"/>
        <item x="116"/>
        <item x="65"/>
        <item x="125"/>
        <item x="138"/>
        <item x="97"/>
        <item x="20"/>
        <item x="112"/>
        <item x="78"/>
        <item x="59"/>
        <item x="56"/>
        <item x="108"/>
        <item x="143"/>
        <item x="133"/>
        <item x="98"/>
        <item x="7"/>
        <item x="95"/>
        <item x="11"/>
        <item x="80"/>
        <item x="111"/>
        <item x="60"/>
        <item x="84"/>
        <item x="5"/>
        <item x="64"/>
        <item x="118"/>
        <item x="90"/>
        <item x="137"/>
        <item x="54"/>
        <item x="46"/>
        <item x="151"/>
        <item x="57"/>
        <item x="79"/>
        <item x="145"/>
        <item x="121"/>
        <item x="131"/>
        <item x="130"/>
        <item t="default"/>
      </items>
    </pivotField>
    <pivotField showAll="0"/>
    <pivotField showAll="0"/>
    <pivotField showAll="0"/>
    <pivotField showAll="0"/>
    <pivotField showAll="0"/>
    <pivotField showAll="0"/>
    <pivotField showAll="0">
      <items count="5">
        <item x="2"/>
        <item x="1"/>
        <item x="3"/>
        <item x="0"/>
        <item t="default"/>
      </items>
    </pivotField>
    <pivotField numFmtId="1" showAll="0"/>
    <pivotField showAll="0"/>
    <pivotField showAll="0"/>
    <pivotField showAll="0"/>
    <pivotField showAll="0"/>
    <pivotField showAll="0"/>
    <pivotField showAll="0"/>
    <pivotField showAll="0"/>
    <pivotField numFmtId="10"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1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t="grand">
      <x/>
    </i>
  </rowItems>
  <colItems count="1">
    <i/>
  </colItems>
  <dataFields count="1">
    <dataField name="Sum of Cost_Variance_NGN" fld="27" baseField="0" baseItem="0" numFmtId="166"/>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Type" xr10:uid="{A9141480-3A69-4F72-BAF3-6CB8F0B6E5D3}" sourceName="Project_Type">
  <pivotTables>
    <pivotTable tabId="6" name="PivotTable24"/>
    <pivotTable tabId="6" name="PivotTable16"/>
    <pivotTable tabId="6" name="PivotTable18"/>
    <pivotTable tabId="6" name="PivotTable19"/>
    <pivotTable tabId="6" name="PivotTable20"/>
    <pivotTable tabId="6" name="PivotTable21"/>
    <pivotTable tabId="6" name="PivotTable22"/>
    <pivotTable tabId="6" name="PivotTable23"/>
    <pivotTable tabId="6" name="PivotTable27"/>
    <pivotTable tabId="6" name="PivotTable28"/>
    <pivotTable tabId="6" name="PivotTable29"/>
    <pivotTable tabId="6" name="PivotTable30"/>
    <pivotTable tabId="6" name="PivotTable31"/>
    <pivotTable tabId="6" name="PivotTable32"/>
  </pivotTables>
  <data>
    <tabular pivotCacheId="588619631">
      <items count="6">
        <i x="2" s="1"/>
        <i x="1" s="1"/>
        <i x="4" s="1"/>
        <i x="0" s="1"/>
        <i x="3" s="1"/>
        <i x="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694F485D-FBA4-4C9E-831A-AC428CC72212}" sourceName="Supplier">
  <pivotTables>
    <pivotTable tabId="6" name="PivotTable24"/>
    <pivotTable tabId="6" name="PivotTable16"/>
    <pivotTable tabId="6" name="PivotTable18"/>
    <pivotTable tabId="6" name="PivotTable19"/>
    <pivotTable tabId="6" name="PivotTable20"/>
    <pivotTable tabId="6" name="PivotTable21"/>
    <pivotTable tabId="6" name="PivotTable22"/>
    <pivotTable tabId="6" name="PivotTable23"/>
    <pivotTable tabId="6" name="PivotTable27"/>
    <pivotTable tabId="6" name="PivotTable28"/>
    <pivotTable tabId="6" name="PivotTable29"/>
    <pivotTable tabId="6" name="PivotTable30"/>
    <pivotTable tabId="6" name="PivotTable31"/>
    <pivotTable tabId="6" name="PivotTable32"/>
  </pivotTables>
  <data>
    <tabular pivotCacheId="588619631">
      <items count="5">
        <i x="4" s="1"/>
        <i x="0" s="1"/>
        <i x="3" s="1"/>
        <i x="2"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_Category" xr10:uid="{B81F5F3F-26C5-4EBB-AE67-DE6A5D3624AD}" sourceName="Distance Category">
  <pivotTables>
    <pivotTable tabId="6" name="PivotTable24"/>
    <pivotTable tabId="6" name="PivotTable16"/>
    <pivotTable tabId="6" name="PivotTable18"/>
    <pivotTable tabId="6" name="PivotTable19"/>
    <pivotTable tabId="6" name="PivotTable20"/>
    <pivotTable tabId="6" name="PivotTable21"/>
    <pivotTable tabId="6" name="PivotTable22"/>
    <pivotTable tabId="6" name="PivotTable23"/>
    <pivotTable tabId="6" name="PivotTable27"/>
    <pivotTable tabId="6" name="PivotTable28"/>
    <pivotTable tabId="6" name="PivotTable29"/>
    <pivotTable tabId="6" name="PivotTable30"/>
    <pivotTable tabId="6" name="PivotTable31"/>
    <pivotTable tabId="6" name="PivotTable32"/>
  </pivotTables>
  <data>
    <tabular pivotCacheId="588619631">
      <items count="4">
        <i x="2" s="1"/>
        <i x="1" s="1"/>
        <i x="3"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_Type" xr10:uid="{9DD1B955-363D-4263-8ACF-584F4825093C}" cache="Slicer_Project_Type" caption="Project Type" startItem="1" rowHeight="257175"/>
  <slicer name="Project_Type 1" xr10:uid="{625CF05D-E63F-407E-A1B0-FC7F27FD8E7B}" cache="Slicer_Project_Type" caption="Project Type" rowHeight="257175"/>
  <slicer name="Supplier 1" xr10:uid="{490A0170-132E-4439-8588-F799F1F1FA09}" cache="Slicer_Supplier" caption="Supplier" rowHeight="257175"/>
  <slicer name="Distance Category" xr10:uid="{3C963AEE-5488-413F-889E-25CE51FC1C35}" cache="Slicer_Distance_Category" caption="Distance 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9C9834-3AF5-4E5E-A616-94554A1712C2}" name="Table2" displayName="Table2" ref="A2:AC302" totalsRowShown="0" headerRowDxfId="29">
  <autoFilter ref="A2:AC302" xr:uid="{CE9C9834-3AF5-4E5E-A616-94554A1712C2}"/>
  <tableColumns count="29">
    <tableColumn id="1" xr3:uid="{1F182CCA-65F4-41EF-8ECE-208CCA31FA5D}" name="Shipment_ID"/>
    <tableColumn id="2" xr3:uid="{3F83F63E-9399-4C3F-9320-4CAE0AF0B85A}" name="Planned_Date" dataDxfId="28"/>
    <tableColumn id="3" xr3:uid="{B167D981-9B34-453D-9ED7-2D30695AA254}" name="Delivery_Date" dataDxfId="27"/>
    <tableColumn id="4" xr3:uid="{0CBFADA3-A8C5-46C1-A561-5459D67B0DC0}" name="Project_Type"/>
    <tableColumn id="5" xr3:uid="{51E4F8A3-B1C1-4665-A4BA-026EC7C03A25}" name="Material_Category"/>
    <tableColumn id="6" xr3:uid="{D613B854-0088-441A-9080-A6359ECE44A4}" name="Supplier"/>
    <tableColumn id="7" xr3:uid="{DC3217AB-E472-45EA-878B-CAFBCB3E50FF}" name="Origin_City"/>
    <tableColumn id="8" xr3:uid="{0F46E9B8-4B96-4C7B-88E6-5A9535CE20A2}" name="Origin_State"/>
    <tableColumn id="9" xr3:uid="{89315518-7552-49F5-A44F-708F0E8579F7}" name="Destination_City"/>
    <tableColumn id="10" xr3:uid="{E06E1E0C-1ED7-4069-8152-14E69378365B}" name="Destination_State"/>
    <tableColumn id="26" xr3:uid="{A9DC2CAC-4154-4457-A37A-669305C44367}" name="Route" dataDxfId="26">
      <calculatedColumnFormula>H3&amp;" → "&amp;J3</calculatedColumnFormula>
    </tableColumn>
    <tableColumn id="11" xr3:uid="{93A1CE62-7C5C-4088-AACC-807E476A3FB6}" name="Priority"/>
    <tableColumn id="12" xr3:uid="{08447CC2-E3D6-4F8A-A977-95F907C01A84}" name="Units_Shipped"/>
    <tableColumn id="13" xr3:uid="{C9F4ECB4-B1A2-41EF-AC9C-38BA439B4FE5}" name="Units_Received"/>
    <tableColumn id="14" xr3:uid="{690DD212-25D1-4E7B-9252-09E1A229E7C8}" name="Units_Damaged"/>
    <tableColumn id="15" xr3:uid="{C218D5E3-89F3-453F-B5AF-0882708DFB90}" name="Distance_km"/>
    <tableColumn id="27" xr3:uid="{1BEFEB7D-58CD-4B7E-B462-3A5EB0BF80FB}" name="Distance Bands" dataDxfId="25">
      <calculatedColumnFormula>IF(P3&lt;=100,"0–100 km",
IF(P3&lt;=250,"101–250 km",
IF(P3&lt;=500,"251–500 km",
IF(P3&lt;=1000,"501–1,000 km",
"1,000+ km"))))</calculatedColumnFormula>
    </tableColumn>
    <tableColumn id="28" xr3:uid="{2ECF44D9-2CB8-4A7F-B318-54E0553EB1EE}" name="Distance Category" dataDxfId="24">
      <calculatedColumnFormula>IF(Table2[[#This Row],[Distance Bands]]="0–100 km","Short",
IF(Table2[[#This Row],[Distance Bands]]="101–250 km","Medium",
IF(Table2[[#This Row],[Distance Bands]]="251–500 km","Long",
IF(Table2[[#This Row],[Distance Bands]]="501–1,000 km","Very Long",
"Extreme"))))</calculatedColumnFormula>
    </tableColumn>
    <tableColumn id="29" xr3:uid="{FD121666-6BA3-4379-AE50-ADC1038BEB18}" name="Freight Cost per KM" dataDxfId="23">
      <calculatedColumnFormula>Table2[[#This Row],[Freight_Cost_NGN]]/Table2[[#This Row],[Distance_km]]</calculatedColumnFormula>
    </tableColumn>
    <tableColumn id="16" xr3:uid="{530215D4-119B-4258-8861-EFC0361D3FB2}" name="Planned_Transit_Days"/>
    <tableColumn id="17" xr3:uid="{713497D6-62B0-4456-88CD-9214B17B3745}" name="Actual_Transit_Days"/>
    <tableColumn id="18" xr3:uid="{B89A10A1-72F0-49CE-93A1-9254BFA1CAD8}" name="Delay_Days">
      <calculatedColumnFormula>Table2[[#This Row],[Actual_Transit_Days]]-Table2[[#This Row],[Planned_Transit_Days]]</calculatedColumnFormula>
    </tableColumn>
    <tableColumn id="19" xr3:uid="{423C0E97-D484-4E3A-9415-95630162DC83}" name="Freight_Cost_NGN"/>
    <tableColumn id="20" xr3:uid="{EAB49B26-DB52-41D0-9DC7-365A97B0E072}" name="Budgeted_Freight_NGN"/>
    <tableColumn id="21" xr3:uid="{BB232172-DF93-4F5A-9B65-E1DD8203A74F}" name="Delivery_Status"/>
    <tableColumn id="22" xr3:uid="{56B7BC76-17B4-45F9-A6EC-337C672C412E}" name="On_Time_Flag">
      <calculatedColumnFormula>IF(Table2[[#This Row],[Delivery_Date]]&lt;=Table2[[#This Row],[Planned_Date]],1,0)</calculatedColumnFormula>
    </tableColumn>
    <tableColumn id="23" xr3:uid="{AA3E56EE-F5E1-4ED5-BCF7-099E599EF250}" name="Damage_Rate" dataDxfId="22" dataCellStyle="Percent">
      <calculatedColumnFormula>Table2[[#This Row],[Units_Damaged]]/Table2[[#This Row],[Units_Shipped]]</calculatedColumnFormula>
    </tableColumn>
    <tableColumn id="24" xr3:uid="{B5197692-09B5-475A-B8F7-A0E2E04AE296}" name="Cost_Variance_NGN">
      <calculatedColumnFormula>W3-X3</calculatedColumnFormula>
    </tableColumn>
    <tableColumn id="25" xr3:uid="{9CF70BEB-A5DD-47A0-9D7E-E586937DFE43}" name="Cost_Variance_%" dataDxfId="21">
      <calculatedColumnFormula>AB3/X3</calculatedColumnFormula>
    </tableColumn>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3.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922E5-9257-4FAC-89A2-1FCF77A89105}">
  <dimension ref="A1:Y301"/>
  <sheetViews>
    <sheetView topLeftCell="F1" workbookViewId="0">
      <selection activeCell="A2" sqref="A2"/>
    </sheetView>
  </sheetViews>
  <sheetFormatPr defaultRowHeight="15" x14ac:dyDescent="0.25"/>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v>46119</v>
      </c>
      <c r="C2">
        <v>46124</v>
      </c>
      <c r="D2" t="s">
        <v>26</v>
      </c>
      <c r="E2" t="s">
        <v>27</v>
      </c>
      <c r="F2" t="s">
        <v>28</v>
      </c>
      <c r="G2" t="s">
        <v>29</v>
      </c>
      <c r="H2" t="s">
        <v>29</v>
      </c>
      <c r="I2" t="s">
        <v>30</v>
      </c>
      <c r="J2" t="s">
        <v>31</v>
      </c>
      <c r="K2" t="s">
        <v>32</v>
      </c>
      <c r="L2">
        <v>25</v>
      </c>
      <c r="M2">
        <v>24</v>
      </c>
      <c r="N2">
        <v>1</v>
      </c>
      <c r="O2">
        <v>639</v>
      </c>
      <c r="P2">
        <v>2</v>
      </c>
      <c r="Q2">
        <v>5</v>
      </c>
      <c r="R2">
        <v>3</v>
      </c>
      <c r="S2">
        <v>501721</v>
      </c>
      <c r="T2">
        <v>467411</v>
      </c>
      <c r="U2" t="s">
        <v>33</v>
      </c>
      <c r="V2">
        <v>0</v>
      </c>
      <c r="W2">
        <v>0.04</v>
      </c>
      <c r="X2">
        <v>34310</v>
      </c>
      <c r="Y2">
        <v>7.2999999999999995E-2</v>
      </c>
    </row>
    <row r="3" spans="1:25" x14ac:dyDescent="0.25">
      <c r="A3" t="s">
        <v>34</v>
      </c>
      <c r="B3">
        <v>46184</v>
      </c>
      <c r="C3">
        <v>46186</v>
      </c>
      <c r="D3" t="s">
        <v>35</v>
      </c>
      <c r="E3" t="s">
        <v>36</v>
      </c>
      <c r="F3" t="s">
        <v>37</v>
      </c>
      <c r="G3" t="s">
        <v>38</v>
      </c>
      <c r="H3" t="s">
        <v>38</v>
      </c>
      <c r="I3" t="s">
        <v>39</v>
      </c>
      <c r="J3" t="s">
        <v>40</v>
      </c>
      <c r="K3" t="s">
        <v>41</v>
      </c>
      <c r="L3">
        <v>25</v>
      </c>
      <c r="M3">
        <v>24</v>
      </c>
      <c r="N3">
        <v>1</v>
      </c>
      <c r="O3">
        <v>185</v>
      </c>
      <c r="P3">
        <v>2</v>
      </c>
      <c r="Q3">
        <v>2</v>
      </c>
      <c r="R3">
        <v>0</v>
      </c>
      <c r="S3">
        <v>312030</v>
      </c>
      <c r="T3">
        <v>319815</v>
      </c>
      <c r="U3" t="s">
        <v>42</v>
      </c>
      <c r="V3">
        <v>1</v>
      </c>
      <c r="W3">
        <v>0.04</v>
      </c>
      <c r="X3">
        <v>-7785</v>
      </c>
      <c r="Y3">
        <v>-2.4E-2</v>
      </c>
    </row>
    <row r="4" spans="1:25" x14ac:dyDescent="0.25">
      <c r="A4" t="s">
        <v>43</v>
      </c>
      <c r="B4">
        <v>46246</v>
      </c>
      <c r="C4">
        <v>46253</v>
      </c>
      <c r="D4" t="s">
        <v>44</v>
      </c>
      <c r="E4" t="s">
        <v>45</v>
      </c>
      <c r="F4" t="s">
        <v>46</v>
      </c>
      <c r="G4" t="s">
        <v>47</v>
      </c>
      <c r="H4" t="s">
        <v>48</v>
      </c>
      <c r="I4" t="s">
        <v>49</v>
      </c>
      <c r="J4" t="s">
        <v>50</v>
      </c>
      <c r="K4" t="s">
        <v>41</v>
      </c>
      <c r="L4">
        <v>55</v>
      </c>
      <c r="M4">
        <v>54</v>
      </c>
      <c r="N4">
        <v>1</v>
      </c>
      <c r="O4">
        <v>591</v>
      </c>
      <c r="P4">
        <v>7</v>
      </c>
      <c r="Q4">
        <v>7</v>
      </c>
      <c r="R4">
        <v>0</v>
      </c>
      <c r="S4">
        <v>594364</v>
      </c>
      <c r="T4">
        <v>602300</v>
      </c>
      <c r="U4" t="s">
        <v>42</v>
      </c>
      <c r="V4">
        <v>1</v>
      </c>
      <c r="W4">
        <v>1.7999999999999999E-2</v>
      </c>
      <c r="X4">
        <v>-7936</v>
      </c>
      <c r="Y4">
        <v>-1.2999999999999999E-2</v>
      </c>
    </row>
    <row r="5" spans="1:25" x14ac:dyDescent="0.25">
      <c r="A5" t="s">
        <v>51</v>
      </c>
      <c r="B5">
        <v>46035</v>
      </c>
      <c r="C5">
        <v>46036</v>
      </c>
      <c r="D5" t="s">
        <v>26</v>
      </c>
      <c r="E5" t="s">
        <v>52</v>
      </c>
      <c r="F5" t="s">
        <v>53</v>
      </c>
      <c r="G5" t="s">
        <v>39</v>
      </c>
      <c r="H5" t="s">
        <v>40</v>
      </c>
      <c r="I5" t="s">
        <v>54</v>
      </c>
      <c r="J5" t="s">
        <v>55</v>
      </c>
      <c r="K5" t="s">
        <v>41</v>
      </c>
      <c r="L5">
        <v>96</v>
      </c>
      <c r="M5">
        <v>93</v>
      </c>
      <c r="N5">
        <v>3</v>
      </c>
      <c r="O5">
        <v>391</v>
      </c>
      <c r="P5">
        <v>1</v>
      </c>
      <c r="Q5">
        <v>1</v>
      </c>
      <c r="R5">
        <v>0</v>
      </c>
      <c r="S5">
        <v>1339111</v>
      </c>
      <c r="T5">
        <v>1364601</v>
      </c>
      <c r="U5" t="s">
        <v>42</v>
      </c>
      <c r="V5">
        <v>1</v>
      </c>
      <c r="W5">
        <v>3.1E-2</v>
      </c>
      <c r="X5">
        <v>-25490</v>
      </c>
      <c r="Y5">
        <v>-1.9E-2</v>
      </c>
    </row>
    <row r="6" spans="1:25" x14ac:dyDescent="0.25">
      <c r="A6" t="s">
        <v>56</v>
      </c>
      <c r="B6">
        <v>46158</v>
      </c>
      <c r="C6">
        <v>46162</v>
      </c>
      <c r="D6" t="s">
        <v>26</v>
      </c>
      <c r="E6" t="s">
        <v>57</v>
      </c>
      <c r="F6" t="s">
        <v>53</v>
      </c>
      <c r="G6" t="s">
        <v>58</v>
      </c>
      <c r="H6" t="s">
        <v>59</v>
      </c>
      <c r="I6" t="s">
        <v>38</v>
      </c>
      <c r="J6" t="s">
        <v>38</v>
      </c>
      <c r="K6" t="s">
        <v>60</v>
      </c>
      <c r="L6">
        <v>110</v>
      </c>
      <c r="M6">
        <v>110</v>
      </c>
      <c r="N6">
        <v>0</v>
      </c>
      <c r="O6">
        <v>796</v>
      </c>
      <c r="P6">
        <v>3</v>
      </c>
      <c r="Q6">
        <v>4</v>
      </c>
      <c r="R6">
        <v>1</v>
      </c>
      <c r="S6">
        <v>1644430</v>
      </c>
      <c r="T6">
        <v>1789891</v>
      </c>
      <c r="U6" t="s">
        <v>33</v>
      </c>
      <c r="V6">
        <v>0</v>
      </c>
      <c r="W6">
        <v>0</v>
      </c>
      <c r="X6">
        <v>-145461</v>
      </c>
      <c r="Y6">
        <v>-8.1000000000000003E-2</v>
      </c>
    </row>
    <row r="7" spans="1:25" x14ac:dyDescent="0.25">
      <c r="A7" t="s">
        <v>61</v>
      </c>
      <c r="B7">
        <v>46066</v>
      </c>
      <c r="C7">
        <v>46074</v>
      </c>
      <c r="D7" t="s">
        <v>62</v>
      </c>
      <c r="E7" t="s">
        <v>52</v>
      </c>
      <c r="F7" t="s">
        <v>63</v>
      </c>
      <c r="G7" t="s">
        <v>64</v>
      </c>
      <c r="H7" t="s">
        <v>65</v>
      </c>
      <c r="I7" t="s">
        <v>54</v>
      </c>
      <c r="J7" t="s">
        <v>55</v>
      </c>
      <c r="K7" t="s">
        <v>41</v>
      </c>
      <c r="L7">
        <v>115</v>
      </c>
      <c r="M7">
        <v>115</v>
      </c>
      <c r="N7">
        <v>0</v>
      </c>
      <c r="O7">
        <v>77</v>
      </c>
      <c r="P7">
        <v>6</v>
      </c>
      <c r="Q7">
        <v>8</v>
      </c>
      <c r="R7">
        <v>2</v>
      </c>
      <c r="S7">
        <v>1122548</v>
      </c>
      <c r="T7">
        <v>1249453</v>
      </c>
      <c r="U7" t="s">
        <v>33</v>
      </c>
      <c r="V7">
        <v>0</v>
      </c>
      <c r="W7">
        <v>0</v>
      </c>
      <c r="X7">
        <v>-126905</v>
      </c>
      <c r="Y7">
        <v>-0.10199999999999999</v>
      </c>
    </row>
    <row r="8" spans="1:25" x14ac:dyDescent="0.25">
      <c r="A8" t="s">
        <v>66</v>
      </c>
      <c r="B8">
        <v>46091</v>
      </c>
      <c r="C8">
        <v>46092</v>
      </c>
      <c r="D8" t="s">
        <v>62</v>
      </c>
      <c r="E8" t="s">
        <v>67</v>
      </c>
      <c r="F8" t="s">
        <v>28</v>
      </c>
      <c r="G8" t="s">
        <v>47</v>
      </c>
      <c r="H8" t="s">
        <v>48</v>
      </c>
      <c r="I8" t="s">
        <v>68</v>
      </c>
      <c r="J8" t="s">
        <v>69</v>
      </c>
      <c r="K8" t="s">
        <v>32</v>
      </c>
      <c r="L8">
        <v>133</v>
      </c>
      <c r="M8">
        <v>129</v>
      </c>
      <c r="N8">
        <v>4</v>
      </c>
      <c r="O8">
        <v>672</v>
      </c>
      <c r="P8">
        <v>1</v>
      </c>
      <c r="Q8">
        <v>1</v>
      </c>
      <c r="R8">
        <v>0</v>
      </c>
      <c r="S8">
        <v>2029335</v>
      </c>
      <c r="T8">
        <v>2197957</v>
      </c>
      <c r="U8" t="s">
        <v>42</v>
      </c>
      <c r="V8">
        <v>1</v>
      </c>
      <c r="W8">
        <v>0.03</v>
      </c>
      <c r="X8">
        <v>-168622</v>
      </c>
      <c r="Y8">
        <v>-7.6999999999999999E-2</v>
      </c>
    </row>
    <row r="9" spans="1:25" x14ac:dyDescent="0.25">
      <c r="A9" t="s">
        <v>70</v>
      </c>
      <c r="B9">
        <v>46161</v>
      </c>
      <c r="C9">
        <v>46167</v>
      </c>
      <c r="D9" t="s">
        <v>26</v>
      </c>
      <c r="E9" t="s">
        <v>36</v>
      </c>
      <c r="F9" t="s">
        <v>37</v>
      </c>
      <c r="G9" t="s">
        <v>64</v>
      </c>
      <c r="H9" t="s">
        <v>65</v>
      </c>
      <c r="I9" t="s">
        <v>39</v>
      </c>
      <c r="J9" t="s">
        <v>40</v>
      </c>
      <c r="K9" t="s">
        <v>32</v>
      </c>
      <c r="L9">
        <v>37</v>
      </c>
      <c r="M9">
        <v>36</v>
      </c>
      <c r="N9">
        <v>1</v>
      </c>
      <c r="O9">
        <v>72</v>
      </c>
      <c r="P9">
        <v>6</v>
      </c>
      <c r="Q9">
        <v>6</v>
      </c>
      <c r="R9">
        <v>0</v>
      </c>
      <c r="S9">
        <v>272490</v>
      </c>
      <c r="T9">
        <v>268412</v>
      </c>
      <c r="U9" t="s">
        <v>42</v>
      </c>
      <c r="V9">
        <v>1</v>
      </c>
      <c r="W9">
        <v>2.7E-2</v>
      </c>
      <c r="X9">
        <v>4078</v>
      </c>
      <c r="Y9">
        <v>1.4999999999999999E-2</v>
      </c>
    </row>
    <row r="10" spans="1:25" x14ac:dyDescent="0.25">
      <c r="A10" t="s">
        <v>71</v>
      </c>
      <c r="B10">
        <v>46127</v>
      </c>
      <c r="C10">
        <v>46138</v>
      </c>
      <c r="D10" t="s">
        <v>35</v>
      </c>
      <c r="E10" t="s">
        <v>45</v>
      </c>
      <c r="F10" t="s">
        <v>63</v>
      </c>
      <c r="G10" t="s">
        <v>72</v>
      </c>
      <c r="H10" t="s">
        <v>72</v>
      </c>
      <c r="I10" t="s">
        <v>73</v>
      </c>
      <c r="J10" t="s">
        <v>74</v>
      </c>
      <c r="K10" t="s">
        <v>41</v>
      </c>
      <c r="L10">
        <v>9</v>
      </c>
      <c r="M10">
        <v>9</v>
      </c>
      <c r="N10">
        <v>0</v>
      </c>
      <c r="O10">
        <v>242</v>
      </c>
      <c r="P10">
        <v>7</v>
      </c>
      <c r="Q10">
        <v>11</v>
      </c>
      <c r="R10">
        <v>4</v>
      </c>
      <c r="S10">
        <v>142786</v>
      </c>
      <c r="T10">
        <v>138675</v>
      </c>
      <c r="U10" t="s">
        <v>75</v>
      </c>
      <c r="V10">
        <v>0</v>
      </c>
      <c r="W10">
        <v>0</v>
      </c>
      <c r="X10">
        <v>4111</v>
      </c>
      <c r="Y10">
        <v>0.03</v>
      </c>
    </row>
    <row r="11" spans="1:25" x14ac:dyDescent="0.25">
      <c r="A11" t="s">
        <v>76</v>
      </c>
      <c r="B11">
        <v>46255</v>
      </c>
      <c r="C11">
        <v>46258</v>
      </c>
      <c r="D11" t="s">
        <v>77</v>
      </c>
      <c r="E11" t="s">
        <v>67</v>
      </c>
      <c r="F11" t="s">
        <v>28</v>
      </c>
      <c r="G11" t="s">
        <v>30</v>
      </c>
      <c r="H11" t="s">
        <v>31</v>
      </c>
      <c r="I11" t="s">
        <v>54</v>
      </c>
      <c r="J11" t="s">
        <v>55</v>
      </c>
      <c r="K11" t="s">
        <v>32</v>
      </c>
      <c r="L11">
        <v>33</v>
      </c>
      <c r="M11">
        <v>33</v>
      </c>
      <c r="N11">
        <v>0</v>
      </c>
      <c r="O11">
        <v>60</v>
      </c>
      <c r="P11">
        <v>3</v>
      </c>
      <c r="Q11">
        <v>3</v>
      </c>
      <c r="R11">
        <v>0</v>
      </c>
      <c r="S11">
        <v>387084</v>
      </c>
      <c r="T11">
        <v>402479</v>
      </c>
      <c r="U11" t="s">
        <v>42</v>
      </c>
      <c r="V11">
        <v>1</v>
      </c>
      <c r="W11">
        <v>0</v>
      </c>
      <c r="X11">
        <v>-15395</v>
      </c>
      <c r="Y11">
        <v>-3.7999999999999999E-2</v>
      </c>
    </row>
    <row r="12" spans="1:25" x14ac:dyDescent="0.25">
      <c r="A12" t="s">
        <v>78</v>
      </c>
      <c r="B12">
        <v>46211</v>
      </c>
      <c r="C12">
        <v>46213</v>
      </c>
      <c r="D12" t="s">
        <v>26</v>
      </c>
      <c r="E12" t="s">
        <v>52</v>
      </c>
      <c r="F12" t="s">
        <v>46</v>
      </c>
      <c r="G12" t="s">
        <v>68</v>
      </c>
      <c r="H12" t="s">
        <v>69</v>
      </c>
      <c r="I12" t="s">
        <v>54</v>
      </c>
      <c r="J12" t="s">
        <v>55</v>
      </c>
      <c r="K12" t="s">
        <v>41</v>
      </c>
      <c r="L12">
        <v>112</v>
      </c>
      <c r="M12">
        <v>111</v>
      </c>
      <c r="N12">
        <v>1</v>
      </c>
      <c r="O12">
        <v>580</v>
      </c>
      <c r="P12">
        <v>2</v>
      </c>
      <c r="Q12">
        <v>2</v>
      </c>
      <c r="R12">
        <v>0</v>
      </c>
      <c r="S12">
        <v>1826460</v>
      </c>
      <c r="T12">
        <v>2002998</v>
      </c>
      <c r="U12" t="s">
        <v>42</v>
      </c>
      <c r="V12">
        <v>1</v>
      </c>
      <c r="W12">
        <v>8.9999999999999993E-3</v>
      </c>
      <c r="X12">
        <v>-176538</v>
      </c>
      <c r="Y12">
        <v>-8.7999999999999995E-2</v>
      </c>
    </row>
    <row r="13" spans="1:25" x14ac:dyDescent="0.25">
      <c r="A13" t="s">
        <v>79</v>
      </c>
      <c r="B13">
        <v>46216</v>
      </c>
      <c r="C13">
        <v>46217</v>
      </c>
      <c r="D13" t="s">
        <v>57</v>
      </c>
      <c r="E13" t="s">
        <v>67</v>
      </c>
      <c r="F13" t="s">
        <v>53</v>
      </c>
      <c r="G13" t="s">
        <v>64</v>
      </c>
      <c r="H13" t="s">
        <v>65</v>
      </c>
      <c r="I13" t="s">
        <v>80</v>
      </c>
      <c r="J13" t="s">
        <v>80</v>
      </c>
      <c r="K13" t="s">
        <v>41</v>
      </c>
      <c r="L13">
        <v>7</v>
      </c>
      <c r="M13">
        <v>7</v>
      </c>
      <c r="N13">
        <v>0</v>
      </c>
      <c r="O13">
        <v>383</v>
      </c>
      <c r="P13">
        <v>1</v>
      </c>
      <c r="Q13">
        <v>1</v>
      </c>
      <c r="R13">
        <v>0</v>
      </c>
      <c r="S13">
        <v>308287</v>
      </c>
      <c r="T13">
        <v>309360</v>
      </c>
      <c r="U13" t="s">
        <v>42</v>
      </c>
      <c r="V13">
        <v>1</v>
      </c>
      <c r="W13">
        <v>0</v>
      </c>
      <c r="X13">
        <v>-1073</v>
      </c>
      <c r="Y13">
        <v>-3.0000000000000001E-3</v>
      </c>
    </row>
    <row r="14" spans="1:25" x14ac:dyDescent="0.25">
      <c r="A14" t="s">
        <v>81</v>
      </c>
      <c r="B14">
        <v>46085</v>
      </c>
      <c r="C14">
        <v>46089</v>
      </c>
      <c r="D14" t="s">
        <v>35</v>
      </c>
      <c r="E14" t="s">
        <v>36</v>
      </c>
      <c r="F14" t="s">
        <v>46</v>
      </c>
      <c r="G14" t="s">
        <v>38</v>
      </c>
      <c r="H14" t="s">
        <v>38</v>
      </c>
      <c r="I14" t="s">
        <v>47</v>
      </c>
      <c r="J14" t="s">
        <v>48</v>
      </c>
      <c r="K14" t="s">
        <v>41</v>
      </c>
      <c r="L14">
        <v>117</v>
      </c>
      <c r="M14">
        <v>113</v>
      </c>
      <c r="N14">
        <v>4</v>
      </c>
      <c r="O14">
        <v>521</v>
      </c>
      <c r="P14">
        <v>3</v>
      </c>
      <c r="Q14">
        <v>4</v>
      </c>
      <c r="R14">
        <v>1</v>
      </c>
      <c r="S14">
        <v>1401666</v>
      </c>
      <c r="T14">
        <v>1358740</v>
      </c>
      <c r="U14" t="s">
        <v>33</v>
      </c>
      <c r="V14">
        <v>0</v>
      </c>
      <c r="W14">
        <v>3.4000000000000002E-2</v>
      </c>
      <c r="X14">
        <v>42926</v>
      </c>
      <c r="Y14">
        <v>3.2000000000000001E-2</v>
      </c>
    </row>
    <row r="15" spans="1:25" x14ac:dyDescent="0.25">
      <c r="A15" t="s">
        <v>82</v>
      </c>
      <c r="B15">
        <v>46080</v>
      </c>
      <c r="C15">
        <v>46081</v>
      </c>
      <c r="D15" t="s">
        <v>77</v>
      </c>
      <c r="E15" t="s">
        <v>57</v>
      </c>
      <c r="F15" t="s">
        <v>37</v>
      </c>
      <c r="G15" t="s">
        <v>58</v>
      </c>
      <c r="H15" t="s">
        <v>59</v>
      </c>
      <c r="I15" t="s">
        <v>39</v>
      </c>
      <c r="J15" t="s">
        <v>40</v>
      </c>
      <c r="K15" t="s">
        <v>60</v>
      </c>
      <c r="L15">
        <v>133</v>
      </c>
      <c r="M15">
        <v>129</v>
      </c>
      <c r="N15">
        <v>4</v>
      </c>
      <c r="O15">
        <v>427</v>
      </c>
      <c r="P15">
        <v>1</v>
      </c>
      <c r="Q15">
        <v>1</v>
      </c>
      <c r="R15">
        <v>0</v>
      </c>
      <c r="S15">
        <v>1382871</v>
      </c>
      <c r="T15">
        <v>1407611</v>
      </c>
      <c r="U15" t="s">
        <v>42</v>
      </c>
      <c r="V15">
        <v>1</v>
      </c>
      <c r="W15">
        <v>0.03</v>
      </c>
      <c r="X15">
        <v>-24740</v>
      </c>
      <c r="Y15">
        <v>-1.7999999999999999E-2</v>
      </c>
    </row>
    <row r="16" spans="1:25" x14ac:dyDescent="0.25">
      <c r="A16" t="s">
        <v>83</v>
      </c>
      <c r="B16">
        <v>46171</v>
      </c>
      <c r="C16">
        <v>46176</v>
      </c>
      <c r="D16" t="s">
        <v>62</v>
      </c>
      <c r="E16" t="s">
        <v>36</v>
      </c>
      <c r="F16" t="s">
        <v>53</v>
      </c>
      <c r="G16" t="s">
        <v>38</v>
      </c>
      <c r="H16" t="s">
        <v>38</v>
      </c>
      <c r="I16" t="s">
        <v>80</v>
      </c>
      <c r="J16" t="s">
        <v>80</v>
      </c>
      <c r="K16" t="s">
        <v>41</v>
      </c>
      <c r="L16">
        <v>120</v>
      </c>
      <c r="M16">
        <v>119</v>
      </c>
      <c r="N16">
        <v>1</v>
      </c>
      <c r="O16">
        <v>634</v>
      </c>
      <c r="P16">
        <v>5</v>
      </c>
      <c r="Q16">
        <v>5</v>
      </c>
      <c r="R16">
        <v>0</v>
      </c>
      <c r="S16">
        <v>908536</v>
      </c>
      <c r="T16">
        <v>984204</v>
      </c>
      <c r="U16" t="s">
        <v>42</v>
      </c>
      <c r="V16">
        <v>1</v>
      </c>
      <c r="W16">
        <v>8.0000000000000002E-3</v>
      </c>
      <c r="X16">
        <v>-75668</v>
      </c>
      <c r="Y16">
        <v>-7.6999999999999999E-2</v>
      </c>
    </row>
    <row r="17" spans="1:25" x14ac:dyDescent="0.25">
      <c r="A17" t="s">
        <v>84</v>
      </c>
      <c r="B17">
        <v>46190</v>
      </c>
      <c r="C17">
        <v>46192</v>
      </c>
      <c r="D17" t="s">
        <v>44</v>
      </c>
      <c r="E17" t="s">
        <v>85</v>
      </c>
      <c r="F17" t="s">
        <v>46</v>
      </c>
      <c r="G17" t="s">
        <v>39</v>
      </c>
      <c r="H17" t="s">
        <v>40</v>
      </c>
      <c r="I17" t="s">
        <v>80</v>
      </c>
      <c r="J17" t="s">
        <v>80</v>
      </c>
      <c r="K17" t="s">
        <v>32</v>
      </c>
      <c r="L17">
        <v>151</v>
      </c>
      <c r="M17">
        <v>148</v>
      </c>
      <c r="N17">
        <v>3</v>
      </c>
      <c r="O17">
        <v>172</v>
      </c>
      <c r="P17">
        <v>1</v>
      </c>
      <c r="Q17">
        <v>2</v>
      </c>
      <c r="R17">
        <v>1</v>
      </c>
      <c r="S17">
        <v>1178917</v>
      </c>
      <c r="T17">
        <v>1125716</v>
      </c>
      <c r="U17" t="s">
        <v>33</v>
      </c>
      <c r="V17">
        <v>0</v>
      </c>
      <c r="W17">
        <v>0.02</v>
      </c>
      <c r="X17">
        <v>53201</v>
      </c>
      <c r="Y17">
        <v>4.7E-2</v>
      </c>
    </row>
    <row r="18" spans="1:25" x14ac:dyDescent="0.25">
      <c r="A18" t="s">
        <v>86</v>
      </c>
      <c r="B18">
        <v>46211</v>
      </c>
      <c r="C18">
        <v>46218</v>
      </c>
      <c r="D18" t="s">
        <v>35</v>
      </c>
      <c r="E18" t="s">
        <v>85</v>
      </c>
      <c r="F18" t="s">
        <v>53</v>
      </c>
      <c r="G18" t="s">
        <v>80</v>
      </c>
      <c r="H18" t="s">
        <v>80</v>
      </c>
      <c r="I18" t="s">
        <v>39</v>
      </c>
      <c r="J18" t="s">
        <v>40</v>
      </c>
      <c r="K18" t="s">
        <v>41</v>
      </c>
      <c r="L18">
        <v>46</v>
      </c>
      <c r="M18">
        <v>45</v>
      </c>
      <c r="N18">
        <v>1</v>
      </c>
      <c r="O18">
        <v>635</v>
      </c>
      <c r="P18">
        <v>2</v>
      </c>
      <c r="Q18">
        <v>7</v>
      </c>
      <c r="R18">
        <v>5</v>
      </c>
      <c r="S18">
        <v>473687</v>
      </c>
      <c r="T18">
        <v>452366</v>
      </c>
      <c r="U18" t="s">
        <v>75</v>
      </c>
      <c r="V18">
        <v>0</v>
      </c>
      <c r="W18">
        <v>2.1999999999999999E-2</v>
      </c>
      <c r="X18">
        <v>21321</v>
      </c>
      <c r="Y18">
        <v>4.7E-2</v>
      </c>
    </row>
    <row r="19" spans="1:25" x14ac:dyDescent="0.25">
      <c r="A19" t="s">
        <v>87</v>
      </c>
      <c r="B19">
        <v>46035</v>
      </c>
      <c r="C19">
        <v>46040</v>
      </c>
      <c r="D19" t="s">
        <v>57</v>
      </c>
      <c r="E19" t="s">
        <v>52</v>
      </c>
      <c r="F19" t="s">
        <v>53</v>
      </c>
      <c r="G19" t="s">
        <v>88</v>
      </c>
      <c r="H19" t="s">
        <v>89</v>
      </c>
      <c r="I19" t="s">
        <v>80</v>
      </c>
      <c r="J19" t="s">
        <v>80</v>
      </c>
      <c r="K19" t="s">
        <v>41</v>
      </c>
      <c r="L19">
        <v>135</v>
      </c>
      <c r="M19">
        <v>132</v>
      </c>
      <c r="N19">
        <v>3</v>
      </c>
      <c r="O19">
        <v>428</v>
      </c>
      <c r="P19">
        <v>3</v>
      </c>
      <c r="Q19">
        <v>5</v>
      </c>
      <c r="R19">
        <v>2</v>
      </c>
      <c r="S19">
        <v>1544209</v>
      </c>
      <c r="T19">
        <v>1661530</v>
      </c>
      <c r="U19" t="s">
        <v>33</v>
      </c>
      <c r="V19">
        <v>0</v>
      </c>
      <c r="W19">
        <v>2.1999999999999999E-2</v>
      </c>
      <c r="X19">
        <v>-117321</v>
      </c>
      <c r="Y19">
        <v>-7.0999999999999994E-2</v>
      </c>
    </row>
    <row r="20" spans="1:25" x14ac:dyDescent="0.25">
      <c r="A20" t="s">
        <v>90</v>
      </c>
      <c r="B20">
        <v>46110</v>
      </c>
      <c r="C20">
        <v>46114</v>
      </c>
      <c r="D20" t="s">
        <v>77</v>
      </c>
      <c r="E20" t="s">
        <v>52</v>
      </c>
      <c r="F20" t="s">
        <v>53</v>
      </c>
      <c r="G20" t="s">
        <v>91</v>
      </c>
      <c r="H20" t="s">
        <v>92</v>
      </c>
      <c r="I20" t="s">
        <v>38</v>
      </c>
      <c r="J20" t="s">
        <v>38</v>
      </c>
      <c r="K20" t="s">
        <v>60</v>
      </c>
      <c r="L20">
        <v>103</v>
      </c>
      <c r="M20">
        <v>103</v>
      </c>
      <c r="N20">
        <v>0</v>
      </c>
      <c r="O20">
        <v>177</v>
      </c>
      <c r="P20">
        <v>4</v>
      </c>
      <c r="Q20">
        <v>4</v>
      </c>
      <c r="R20">
        <v>0</v>
      </c>
      <c r="S20">
        <v>862824</v>
      </c>
      <c r="T20">
        <v>846493</v>
      </c>
      <c r="U20" t="s">
        <v>42</v>
      </c>
      <c r="V20">
        <v>1</v>
      </c>
      <c r="W20">
        <v>0</v>
      </c>
      <c r="X20">
        <v>16331</v>
      </c>
      <c r="Y20">
        <v>1.9E-2</v>
      </c>
    </row>
    <row r="21" spans="1:25" x14ac:dyDescent="0.25">
      <c r="A21" t="s">
        <v>93</v>
      </c>
      <c r="B21">
        <v>46047</v>
      </c>
      <c r="C21">
        <v>46049</v>
      </c>
      <c r="D21" t="s">
        <v>57</v>
      </c>
      <c r="E21" t="s">
        <v>36</v>
      </c>
      <c r="F21" t="s">
        <v>63</v>
      </c>
      <c r="G21" t="s">
        <v>72</v>
      </c>
      <c r="H21" t="s">
        <v>72</v>
      </c>
      <c r="I21" t="s">
        <v>54</v>
      </c>
      <c r="J21" t="s">
        <v>55</v>
      </c>
      <c r="K21" t="s">
        <v>41</v>
      </c>
      <c r="L21">
        <v>140</v>
      </c>
      <c r="M21">
        <v>139</v>
      </c>
      <c r="N21">
        <v>1</v>
      </c>
      <c r="O21">
        <v>159</v>
      </c>
      <c r="P21">
        <v>2</v>
      </c>
      <c r="Q21">
        <v>2</v>
      </c>
      <c r="R21">
        <v>0</v>
      </c>
      <c r="S21">
        <v>887970</v>
      </c>
      <c r="T21">
        <v>871642</v>
      </c>
      <c r="U21" t="s">
        <v>42</v>
      </c>
      <c r="V21">
        <v>1</v>
      </c>
      <c r="W21">
        <v>7.0000000000000001E-3</v>
      </c>
      <c r="X21">
        <v>16328</v>
      </c>
      <c r="Y21">
        <v>1.9E-2</v>
      </c>
    </row>
    <row r="22" spans="1:25" x14ac:dyDescent="0.25">
      <c r="A22" t="s">
        <v>94</v>
      </c>
      <c r="B22">
        <v>46034</v>
      </c>
      <c r="C22">
        <v>46041</v>
      </c>
      <c r="D22" t="s">
        <v>35</v>
      </c>
      <c r="E22" t="s">
        <v>85</v>
      </c>
      <c r="F22" t="s">
        <v>46</v>
      </c>
      <c r="G22" t="s">
        <v>73</v>
      </c>
      <c r="H22" t="s">
        <v>74</v>
      </c>
      <c r="I22" t="s">
        <v>91</v>
      </c>
      <c r="J22" t="s">
        <v>92</v>
      </c>
      <c r="K22" t="s">
        <v>41</v>
      </c>
      <c r="L22">
        <v>34</v>
      </c>
      <c r="M22">
        <v>33</v>
      </c>
      <c r="N22">
        <v>1</v>
      </c>
      <c r="O22">
        <v>633</v>
      </c>
      <c r="P22">
        <v>4</v>
      </c>
      <c r="Q22">
        <v>7</v>
      </c>
      <c r="R22">
        <v>3</v>
      </c>
      <c r="S22">
        <v>769649</v>
      </c>
      <c r="T22">
        <v>841098</v>
      </c>
      <c r="U22" t="s">
        <v>33</v>
      </c>
      <c r="V22">
        <v>0</v>
      </c>
      <c r="W22">
        <v>2.9000000000000001E-2</v>
      </c>
      <c r="X22">
        <v>-71449</v>
      </c>
      <c r="Y22">
        <v>-8.5000000000000006E-2</v>
      </c>
    </row>
    <row r="23" spans="1:25" x14ac:dyDescent="0.25">
      <c r="A23" t="s">
        <v>95</v>
      </c>
      <c r="B23">
        <v>46247</v>
      </c>
      <c r="C23">
        <v>46254</v>
      </c>
      <c r="D23" t="s">
        <v>57</v>
      </c>
      <c r="E23" t="s">
        <v>45</v>
      </c>
      <c r="F23" t="s">
        <v>46</v>
      </c>
      <c r="G23" t="s">
        <v>39</v>
      </c>
      <c r="H23" t="s">
        <v>40</v>
      </c>
      <c r="I23" t="s">
        <v>54</v>
      </c>
      <c r="J23" t="s">
        <v>55</v>
      </c>
      <c r="K23" t="s">
        <v>41</v>
      </c>
      <c r="L23">
        <v>128</v>
      </c>
      <c r="M23">
        <v>128</v>
      </c>
      <c r="N23">
        <v>0</v>
      </c>
      <c r="O23">
        <v>769</v>
      </c>
      <c r="P23">
        <v>3</v>
      </c>
      <c r="Q23">
        <v>7</v>
      </c>
      <c r="R23">
        <v>4</v>
      </c>
      <c r="S23">
        <v>1041581</v>
      </c>
      <c r="T23">
        <v>1027155</v>
      </c>
      <c r="U23" t="s">
        <v>75</v>
      </c>
      <c r="V23">
        <v>0</v>
      </c>
      <c r="W23">
        <v>0</v>
      </c>
      <c r="X23">
        <v>14426</v>
      </c>
      <c r="Y23">
        <v>1.4E-2</v>
      </c>
    </row>
    <row r="24" spans="1:25" x14ac:dyDescent="0.25">
      <c r="A24" t="s">
        <v>96</v>
      </c>
      <c r="B24">
        <v>46239</v>
      </c>
      <c r="C24">
        <v>46241</v>
      </c>
      <c r="D24" t="s">
        <v>57</v>
      </c>
      <c r="E24" t="s">
        <v>67</v>
      </c>
      <c r="F24" t="s">
        <v>28</v>
      </c>
      <c r="G24" t="s">
        <v>30</v>
      </c>
      <c r="H24" t="s">
        <v>31</v>
      </c>
      <c r="I24" t="s">
        <v>47</v>
      </c>
      <c r="J24" t="s">
        <v>48</v>
      </c>
      <c r="K24" t="s">
        <v>41</v>
      </c>
      <c r="L24">
        <v>71</v>
      </c>
      <c r="M24">
        <v>69</v>
      </c>
      <c r="N24">
        <v>2</v>
      </c>
      <c r="O24">
        <v>152</v>
      </c>
      <c r="P24">
        <v>2</v>
      </c>
      <c r="Q24">
        <v>2</v>
      </c>
      <c r="R24">
        <v>0</v>
      </c>
      <c r="S24">
        <v>504980</v>
      </c>
      <c r="T24">
        <v>549843</v>
      </c>
      <c r="U24" t="s">
        <v>42</v>
      </c>
      <c r="V24">
        <v>1</v>
      </c>
      <c r="W24">
        <v>2.8000000000000001E-2</v>
      </c>
      <c r="X24">
        <v>-44863</v>
      </c>
      <c r="Y24">
        <v>-8.2000000000000003E-2</v>
      </c>
    </row>
    <row r="25" spans="1:25" x14ac:dyDescent="0.25">
      <c r="A25" t="s">
        <v>97</v>
      </c>
      <c r="B25">
        <v>46130</v>
      </c>
      <c r="C25">
        <v>46137</v>
      </c>
      <c r="D25" t="s">
        <v>62</v>
      </c>
      <c r="E25" t="s">
        <v>45</v>
      </c>
      <c r="F25" t="s">
        <v>28</v>
      </c>
      <c r="G25" t="s">
        <v>49</v>
      </c>
      <c r="H25" t="s">
        <v>50</v>
      </c>
      <c r="I25" t="s">
        <v>72</v>
      </c>
      <c r="J25" t="s">
        <v>72</v>
      </c>
      <c r="K25" t="s">
        <v>41</v>
      </c>
      <c r="L25">
        <v>43</v>
      </c>
      <c r="M25">
        <v>43</v>
      </c>
      <c r="N25">
        <v>0</v>
      </c>
      <c r="O25">
        <v>501</v>
      </c>
      <c r="P25">
        <v>5</v>
      </c>
      <c r="Q25">
        <v>7</v>
      </c>
      <c r="R25">
        <v>2</v>
      </c>
      <c r="S25">
        <v>641339</v>
      </c>
      <c r="T25">
        <v>643876</v>
      </c>
      <c r="U25" t="s">
        <v>33</v>
      </c>
      <c r="V25">
        <v>0</v>
      </c>
      <c r="W25">
        <v>0</v>
      </c>
      <c r="X25">
        <v>-2537</v>
      </c>
      <c r="Y25">
        <v>-4.0000000000000001E-3</v>
      </c>
    </row>
    <row r="26" spans="1:25" x14ac:dyDescent="0.25">
      <c r="A26" t="s">
        <v>98</v>
      </c>
      <c r="B26">
        <v>46062</v>
      </c>
      <c r="C26">
        <v>46068</v>
      </c>
      <c r="D26" t="s">
        <v>26</v>
      </c>
      <c r="E26" t="s">
        <v>36</v>
      </c>
      <c r="F26" t="s">
        <v>46</v>
      </c>
      <c r="G26" t="s">
        <v>29</v>
      </c>
      <c r="H26" t="s">
        <v>29</v>
      </c>
      <c r="I26" t="s">
        <v>64</v>
      </c>
      <c r="J26" t="s">
        <v>65</v>
      </c>
      <c r="K26" t="s">
        <v>41</v>
      </c>
      <c r="L26">
        <v>148</v>
      </c>
      <c r="M26">
        <v>147</v>
      </c>
      <c r="N26">
        <v>1</v>
      </c>
      <c r="O26">
        <v>678</v>
      </c>
      <c r="P26">
        <v>5</v>
      </c>
      <c r="Q26">
        <v>6</v>
      </c>
      <c r="R26">
        <v>1</v>
      </c>
      <c r="S26">
        <v>2374684</v>
      </c>
      <c r="T26">
        <v>2345235</v>
      </c>
      <c r="U26" t="s">
        <v>33</v>
      </c>
      <c r="V26">
        <v>0</v>
      </c>
      <c r="W26">
        <v>7.0000000000000001E-3</v>
      </c>
      <c r="X26">
        <v>29449</v>
      </c>
      <c r="Y26">
        <v>1.2999999999999999E-2</v>
      </c>
    </row>
    <row r="27" spans="1:25" x14ac:dyDescent="0.25">
      <c r="A27" t="s">
        <v>99</v>
      </c>
      <c r="B27">
        <v>46216</v>
      </c>
      <c r="C27">
        <v>46220</v>
      </c>
      <c r="D27" t="s">
        <v>77</v>
      </c>
      <c r="E27" t="s">
        <v>27</v>
      </c>
      <c r="F27" t="s">
        <v>46</v>
      </c>
      <c r="G27" t="s">
        <v>49</v>
      </c>
      <c r="H27" t="s">
        <v>50</v>
      </c>
      <c r="I27" t="s">
        <v>47</v>
      </c>
      <c r="J27" t="s">
        <v>48</v>
      </c>
      <c r="K27" t="s">
        <v>41</v>
      </c>
      <c r="L27">
        <v>90</v>
      </c>
      <c r="M27">
        <v>89</v>
      </c>
      <c r="N27">
        <v>1</v>
      </c>
      <c r="O27">
        <v>329</v>
      </c>
      <c r="P27">
        <v>3</v>
      </c>
      <c r="Q27">
        <v>4</v>
      </c>
      <c r="R27">
        <v>1</v>
      </c>
      <c r="S27">
        <v>1401581</v>
      </c>
      <c r="T27">
        <v>1520042</v>
      </c>
      <c r="U27" t="s">
        <v>33</v>
      </c>
      <c r="V27">
        <v>0</v>
      </c>
      <c r="W27">
        <v>1.0999999999999999E-2</v>
      </c>
      <c r="X27">
        <v>-118461</v>
      </c>
      <c r="Y27">
        <v>-7.8E-2</v>
      </c>
    </row>
    <row r="28" spans="1:25" x14ac:dyDescent="0.25">
      <c r="A28" t="s">
        <v>100</v>
      </c>
      <c r="B28">
        <v>46086</v>
      </c>
      <c r="C28">
        <v>46089</v>
      </c>
      <c r="D28" t="s">
        <v>57</v>
      </c>
      <c r="E28" t="s">
        <v>45</v>
      </c>
      <c r="F28" t="s">
        <v>28</v>
      </c>
      <c r="G28" t="s">
        <v>38</v>
      </c>
      <c r="H28" t="s">
        <v>38</v>
      </c>
      <c r="I28" t="s">
        <v>88</v>
      </c>
      <c r="J28" t="s">
        <v>89</v>
      </c>
      <c r="K28" t="s">
        <v>32</v>
      </c>
      <c r="L28">
        <v>10</v>
      </c>
      <c r="M28">
        <v>10</v>
      </c>
      <c r="N28">
        <v>0</v>
      </c>
      <c r="O28">
        <v>374</v>
      </c>
      <c r="P28">
        <v>2</v>
      </c>
      <c r="Q28">
        <v>3</v>
      </c>
      <c r="R28">
        <v>1</v>
      </c>
      <c r="S28">
        <v>274916</v>
      </c>
      <c r="T28">
        <v>287970</v>
      </c>
      <c r="U28" t="s">
        <v>33</v>
      </c>
      <c r="V28">
        <v>0</v>
      </c>
      <c r="W28">
        <v>0</v>
      </c>
      <c r="X28">
        <v>-13054</v>
      </c>
      <c r="Y28">
        <v>-4.4999999999999998E-2</v>
      </c>
    </row>
    <row r="29" spans="1:25" x14ac:dyDescent="0.25">
      <c r="A29" t="s">
        <v>101</v>
      </c>
      <c r="B29">
        <v>46255</v>
      </c>
      <c r="C29">
        <v>46257</v>
      </c>
      <c r="D29" t="s">
        <v>44</v>
      </c>
      <c r="E29" t="s">
        <v>85</v>
      </c>
      <c r="F29" t="s">
        <v>46</v>
      </c>
      <c r="G29" t="s">
        <v>29</v>
      </c>
      <c r="H29" t="s">
        <v>29</v>
      </c>
      <c r="I29" t="s">
        <v>49</v>
      </c>
      <c r="J29" t="s">
        <v>50</v>
      </c>
      <c r="K29" t="s">
        <v>41</v>
      </c>
      <c r="L29">
        <v>131</v>
      </c>
      <c r="M29">
        <v>128</v>
      </c>
      <c r="N29">
        <v>3</v>
      </c>
      <c r="O29">
        <v>417</v>
      </c>
      <c r="P29">
        <v>2</v>
      </c>
      <c r="Q29">
        <v>2</v>
      </c>
      <c r="R29">
        <v>0</v>
      </c>
      <c r="S29">
        <v>958387</v>
      </c>
      <c r="T29">
        <v>914932</v>
      </c>
      <c r="U29" t="s">
        <v>42</v>
      </c>
      <c r="V29">
        <v>1</v>
      </c>
      <c r="W29">
        <v>2.3E-2</v>
      </c>
      <c r="X29">
        <v>43455</v>
      </c>
      <c r="Y29">
        <v>4.7E-2</v>
      </c>
    </row>
    <row r="30" spans="1:25" x14ac:dyDescent="0.25">
      <c r="A30" t="s">
        <v>102</v>
      </c>
      <c r="B30">
        <v>46143</v>
      </c>
      <c r="C30">
        <v>46148</v>
      </c>
      <c r="D30" t="s">
        <v>62</v>
      </c>
      <c r="E30" t="s">
        <v>103</v>
      </c>
      <c r="F30" t="s">
        <v>53</v>
      </c>
      <c r="G30" t="s">
        <v>38</v>
      </c>
      <c r="H30" t="s">
        <v>38</v>
      </c>
      <c r="I30" t="s">
        <v>68</v>
      </c>
      <c r="J30" t="s">
        <v>69</v>
      </c>
      <c r="K30" t="s">
        <v>41</v>
      </c>
      <c r="L30">
        <v>73</v>
      </c>
      <c r="M30">
        <v>73</v>
      </c>
      <c r="N30">
        <v>0</v>
      </c>
      <c r="O30">
        <v>814</v>
      </c>
      <c r="P30">
        <v>4</v>
      </c>
      <c r="Q30">
        <v>5</v>
      </c>
      <c r="R30">
        <v>1</v>
      </c>
      <c r="S30">
        <v>1162136</v>
      </c>
      <c r="T30">
        <v>1080255</v>
      </c>
      <c r="U30" t="s">
        <v>33</v>
      </c>
      <c r="V30">
        <v>0</v>
      </c>
      <c r="W30">
        <v>0</v>
      </c>
      <c r="X30">
        <v>81881</v>
      </c>
      <c r="Y30">
        <v>7.5999999999999998E-2</v>
      </c>
    </row>
    <row r="31" spans="1:25" x14ac:dyDescent="0.25">
      <c r="A31" t="s">
        <v>104</v>
      </c>
      <c r="B31">
        <v>46120</v>
      </c>
      <c r="C31">
        <v>46128</v>
      </c>
      <c r="D31" t="s">
        <v>26</v>
      </c>
      <c r="E31" t="s">
        <v>103</v>
      </c>
      <c r="F31" t="s">
        <v>63</v>
      </c>
      <c r="G31" t="s">
        <v>88</v>
      </c>
      <c r="H31" t="s">
        <v>89</v>
      </c>
      <c r="I31" t="s">
        <v>47</v>
      </c>
      <c r="J31" t="s">
        <v>48</v>
      </c>
      <c r="K31" t="s">
        <v>41</v>
      </c>
      <c r="L31">
        <v>148</v>
      </c>
      <c r="M31">
        <v>145</v>
      </c>
      <c r="N31">
        <v>3</v>
      </c>
      <c r="O31">
        <v>242</v>
      </c>
      <c r="P31">
        <v>6</v>
      </c>
      <c r="Q31">
        <v>8</v>
      </c>
      <c r="R31">
        <v>2</v>
      </c>
      <c r="S31">
        <v>1785918</v>
      </c>
      <c r="T31">
        <v>1931260</v>
      </c>
      <c r="U31" t="s">
        <v>33</v>
      </c>
      <c r="V31">
        <v>0</v>
      </c>
      <c r="W31">
        <v>0.02</v>
      </c>
      <c r="X31">
        <v>-145342</v>
      </c>
      <c r="Y31">
        <v>-7.4999999999999997E-2</v>
      </c>
    </row>
    <row r="32" spans="1:25" x14ac:dyDescent="0.25">
      <c r="A32" t="s">
        <v>105</v>
      </c>
      <c r="B32">
        <v>46036</v>
      </c>
      <c r="C32">
        <v>46047</v>
      </c>
      <c r="D32" t="s">
        <v>44</v>
      </c>
      <c r="E32" t="s">
        <v>52</v>
      </c>
      <c r="F32" t="s">
        <v>53</v>
      </c>
      <c r="G32" t="s">
        <v>29</v>
      </c>
      <c r="H32" t="s">
        <v>29</v>
      </c>
      <c r="I32" t="s">
        <v>49</v>
      </c>
      <c r="J32" t="s">
        <v>50</v>
      </c>
      <c r="K32" t="s">
        <v>41</v>
      </c>
      <c r="L32">
        <v>142</v>
      </c>
      <c r="M32">
        <v>141</v>
      </c>
      <c r="N32">
        <v>1</v>
      </c>
      <c r="O32">
        <v>786</v>
      </c>
      <c r="P32">
        <v>7</v>
      </c>
      <c r="Q32">
        <v>11</v>
      </c>
      <c r="R32">
        <v>4</v>
      </c>
      <c r="S32">
        <v>1185008</v>
      </c>
      <c r="T32">
        <v>1293196</v>
      </c>
      <c r="U32" t="s">
        <v>75</v>
      </c>
      <c r="V32">
        <v>0</v>
      </c>
      <c r="W32">
        <v>7.0000000000000001E-3</v>
      </c>
      <c r="X32">
        <v>-108188</v>
      </c>
      <c r="Y32">
        <v>-8.4000000000000005E-2</v>
      </c>
    </row>
    <row r="33" spans="1:25" x14ac:dyDescent="0.25">
      <c r="A33" t="s">
        <v>106</v>
      </c>
      <c r="B33">
        <v>46178</v>
      </c>
      <c r="C33">
        <v>46183</v>
      </c>
      <c r="D33" t="s">
        <v>44</v>
      </c>
      <c r="E33" t="s">
        <v>36</v>
      </c>
      <c r="F33" t="s">
        <v>53</v>
      </c>
      <c r="G33" t="s">
        <v>80</v>
      </c>
      <c r="H33" t="s">
        <v>80</v>
      </c>
      <c r="I33" t="s">
        <v>30</v>
      </c>
      <c r="J33" t="s">
        <v>31</v>
      </c>
      <c r="K33" t="s">
        <v>60</v>
      </c>
      <c r="L33">
        <v>37</v>
      </c>
      <c r="M33">
        <v>36</v>
      </c>
      <c r="N33">
        <v>1</v>
      </c>
      <c r="O33">
        <v>715</v>
      </c>
      <c r="P33">
        <v>4</v>
      </c>
      <c r="Q33">
        <v>5</v>
      </c>
      <c r="R33">
        <v>1</v>
      </c>
      <c r="S33">
        <v>676739</v>
      </c>
      <c r="T33">
        <v>674858</v>
      </c>
      <c r="U33" t="s">
        <v>33</v>
      </c>
      <c r="V33">
        <v>0</v>
      </c>
      <c r="W33">
        <v>2.7E-2</v>
      </c>
      <c r="X33">
        <v>1881</v>
      </c>
      <c r="Y33">
        <v>3.0000000000000001E-3</v>
      </c>
    </row>
    <row r="34" spans="1:25" x14ac:dyDescent="0.25">
      <c r="A34" t="s">
        <v>107</v>
      </c>
      <c r="B34">
        <v>46121</v>
      </c>
      <c r="C34">
        <v>46124</v>
      </c>
      <c r="D34" t="s">
        <v>62</v>
      </c>
      <c r="E34" t="s">
        <v>36</v>
      </c>
      <c r="F34" t="s">
        <v>63</v>
      </c>
      <c r="G34" t="s">
        <v>68</v>
      </c>
      <c r="H34" t="s">
        <v>69</v>
      </c>
      <c r="I34" t="s">
        <v>39</v>
      </c>
      <c r="J34" t="s">
        <v>40</v>
      </c>
      <c r="K34" t="s">
        <v>32</v>
      </c>
      <c r="L34">
        <v>39</v>
      </c>
      <c r="M34">
        <v>39</v>
      </c>
      <c r="N34">
        <v>0</v>
      </c>
      <c r="O34">
        <v>751</v>
      </c>
      <c r="P34">
        <v>3</v>
      </c>
      <c r="Q34">
        <v>3</v>
      </c>
      <c r="R34">
        <v>0</v>
      </c>
      <c r="S34">
        <v>706955</v>
      </c>
      <c r="T34">
        <v>769856</v>
      </c>
      <c r="U34" t="s">
        <v>42</v>
      </c>
      <c r="V34">
        <v>1</v>
      </c>
      <c r="W34">
        <v>0</v>
      </c>
      <c r="X34">
        <v>-62901</v>
      </c>
      <c r="Y34">
        <v>-8.2000000000000003E-2</v>
      </c>
    </row>
    <row r="35" spans="1:25" x14ac:dyDescent="0.25">
      <c r="A35" t="s">
        <v>108</v>
      </c>
      <c r="B35">
        <v>46243</v>
      </c>
      <c r="C35">
        <v>46248</v>
      </c>
      <c r="D35" t="s">
        <v>77</v>
      </c>
      <c r="E35" t="s">
        <v>67</v>
      </c>
      <c r="F35" t="s">
        <v>46</v>
      </c>
      <c r="G35" t="s">
        <v>38</v>
      </c>
      <c r="H35" t="s">
        <v>38</v>
      </c>
      <c r="I35" t="s">
        <v>30</v>
      </c>
      <c r="J35" t="s">
        <v>31</v>
      </c>
      <c r="K35" t="s">
        <v>32</v>
      </c>
      <c r="L35">
        <v>142</v>
      </c>
      <c r="M35">
        <v>140</v>
      </c>
      <c r="N35">
        <v>2</v>
      </c>
      <c r="O35">
        <v>481</v>
      </c>
      <c r="P35">
        <v>5</v>
      </c>
      <c r="Q35">
        <v>5</v>
      </c>
      <c r="R35">
        <v>0</v>
      </c>
      <c r="S35">
        <v>1224335</v>
      </c>
      <c r="T35">
        <v>1267413</v>
      </c>
      <c r="U35" t="s">
        <v>42</v>
      </c>
      <c r="V35">
        <v>1</v>
      </c>
      <c r="W35">
        <v>1.4E-2</v>
      </c>
      <c r="X35">
        <v>-43078</v>
      </c>
      <c r="Y35">
        <v>-3.4000000000000002E-2</v>
      </c>
    </row>
    <row r="36" spans="1:25" x14ac:dyDescent="0.25">
      <c r="A36" t="s">
        <v>109</v>
      </c>
      <c r="B36">
        <v>46177</v>
      </c>
      <c r="C36">
        <v>46187</v>
      </c>
      <c r="D36" t="s">
        <v>57</v>
      </c>
      <c r="E36" t="s">
        <v>36</v>
      </c>
      <c r="F36" t="s">
        <v>46</v>
      </c>
      <c r="G36" t="s">
        <v>29</v>
      </c>
      <c r="H36" t="s">
        <v>29</v>
      </c>
      <c r="I36" t="s">
        <v>38</v>
      </c>
      <c r="J36" t="s">
        <v>38</v>
      </c>
      <c r="K36" t="s">
        <v>41</v>
      </c>
      <c r="L36">
        <v>117</v>
      </c>
      <c r="M36">
        <v>113</v>
      </c>
      <c r="N36">
        <v>4</v>
      </c>
      <c r="O36">
        <v>719</v>
      </c>
      <c r="P36">
        <v>6</v>
      </c>
      <c r="Q36">
        <v>10</v>
      </c>
      <c r="R36">
        <v>4</v>
      </c>
      <c r="S36">
        <v>1494580</v>
      </c>
      <c r="T36">
        <v>1600558</v>
      </c>
      <c r="U36" t="s">
        <v>75</v>
      </c>
      <c r="V36">
        <v>0</v>
      </c>
      <c r="W36">
        <v>3.4000000000000002E-2</v>
      </c>
      <c r="X36">
        <v>-105978</v>
      </c>
      <c r="Y36">
        <v>-6.6000000000000003E-2</v>
      </c>
    </row>
    <row r="37" spans="1:25" x14ac:dyDescent="0.25">
      <c r="A37" t="s">
        <v>110</v>
      </c>
      <c r="B37">
        <v>46215</v>
      </c>
      <c r="C37">
        <v>46221</v>
      </c>
      <c r="D37" t="s">
        <v>62</v>
      </c>
      <c r="E37" t="s">
        <v>27</v>
      </c>
      <c r="F37" t="s">
        <v>37</v>
      </c>
      <c r="G37" t="s">
        <v>30</v>
      </c>
      <c r="H37" t="s">
        <v>31</v>
      </c>
      <c r="I37" t="s">
        <v>39</v>
      </c>
      <c r="J37" t="s">
        <v>40</v>
      </c>
      <c r="K37" t="s">
        <v>41</v>
      </c>
      <c r="L37">
        <v>32</v>
      </c>
      <c r="M37">
        <v>31</v>
      </c>
      <c r="N37">
        <v>1</v>
      </c>
      <c r="O37">
        <v>742</v>
      </c>
      <c r="P37">
        <v>6</v>
      </c>
      <c r="Q37">
        <v>6</v>
      </c>
      <c r="R37">
        <v>0</v>
      </c>
      <c r="S37">
        <v>628510</v>
      </c>
      <c r="T37">
        <v>638883</v>
      </c>
      <c r="U37" t="s">
        <v>42</v>
      </c>
      <c r="V37">
        <v>1</v>
      </c>
      <c r="W37">
        <v>3.1E-2</v>
      </c>
      <c r="X37">
        <v>-10373</v>
      </c>
      <c r="Y37">
        <v>-1.6E-2</v>
      </c>
    </row>
    <row r="38" spans="1:25" x14ac:dyDescent="0.25">
      <c r="A38" t="s">
        <v>111</v>
      </c>
      <c r="B38">
        <v>46206</v>
      </c>
      <c r="C38">
        <v>46212</v>
      </c>
      <c r="D38" t="s">
        <v>35</v>
      </c>
      <c r="E38" t="s">
        <v>67</v>
      </c>
      <c r="F38" t="s">
        <v>28</v>
      </c>
      <c r="G38" t="s">
        <v>39</v>
      </c>
      <c r="H38" t="s">
        <v>40</v>
      </c>
      <c r="I38" t="s">
        <v>64</v>
      </c>
      <c r="J38" t="s">
        <v>65</v>
      </c>
      <c r="K38" t="s">
        <v>60</v>
      </c>
      <c r="L38">
        <v>155</v>
      </c>
      <c r="M38">
        <v>148</v>
      </c>
      <c r="N38">
        <v>7</v>
      </c>
      <c r="O38">
        <v>168</v>
      </c>
      <c r="P38">
        <v>4</v>
      </c>
      <c r="Q38">
        <v>6</v>
      </c>
      <c r="R38">
        <v>2</v>
      </c>
      <c r="S38">
        <v>905454</v>
      </c>
      <c r="T38">
        <v>1001600</v>
      </c>
      <c r="U38" t="s">
        <v>33</v>
      </c>
      <c r="V38">
        <v>0</v>
      </c>
      <c r="W38">
        <v>4.4999999999999998E-2</v>
      </c>
      <c r="X38">
        <v>-96146</v>
      </c>
      <c r="Y38">
        <v>-9.6000000000000002E-2</v>
      </c>
    </row>
    <row r="39" spans="1:25" x14ac:dyDescent="0.25">
      <c r="A39" t="s">
        <v>112</v>
      </c>
      <c r="B39">
        <v>46256</v>
      </c>
      <c r="C39">
        <v>46260</v>
      </c>
      <c r="D39" t="s">
        <v>57</v>
      </c>
      <c r="E39" t="s">
        <v>85</v>
      </c>
      <c r="F39" t="s">
        <v>63</v>
      </c>
      <c r="G39" t="s">
        <v>39</v>
      </c>
      <c r="H39" t="s">
        <v>40</v>
      </c>
      <c r="I39" t="s">
        <v>72</v>
      </c>
      <c r="J39" t="s">
        <v>72</v>
      </c>
      <c r="K39" t="s">
        <v>41</v>
      </c>
      <c r="L39">
        <v>141</v>
      </c>
      <c r="M39">
        <v>138</v>
      </c>
      <c r="N39">
        <v>3</v>
      </c>
      <c r="O39">
        <v>819</v>
      </c>
      <c r="P39">
        <v>2</v>
      </c>
      <c r="Q39">
        <v>4</v>
      </c>
      <c r="R39">
        <v>2</v>
      </c>
      <c r="S39">
        <v>1293438</v>
      </c>
      <c r="T39">
        <v>1211006</v>
      </c>
      <c r="U39" t="s">
        <v>33</v>
      </c>
      <c r="V39">
        <v>0</v>
      </c>
      <c r="W39">
        <v>2.1000000000000001E-2</v>
      </c>
      <c r="X39">
        <v>82432</v>
      </c>
      <c r="Y39">
        <v>6.8000000000000005E-2</v>
      </c>
    </row>
    <row r="40" spans="1:25" x14ac:dyDescent="0.25">
      <c r="A40" t="s">
        <v>113</v>
      </c>
      <c r="B40">
        <v>46171</v>
      </c>
      <c r="C40">
        <v>46188</v>
      </c>
      <c r="D40" t="s">
        <v>44</v>
      </c>
      <c r="E40" t="s">
        <v>36</v>
      </c>
      <c r="F40" t="s">
        <v>37</v>
      </c>
      <c r="G40" t="s">
        <v>72</v>
      </c>
      <c r="H40" t="s">
        <v>72</v>
      </c>
      <c r="I40" t="s">
        <v>91</v>
      </c>
      <c r="J40" t="s">
        <v>92</v>
      </c>
      <c r="K40" t="s">
        <v>41</v>
      </c>
      <c r="L40">
        <v>136</v>
      </c>
      <c r="M40">
        <v>133</v>
      </c>
      <c r="N40">
        <v>3</v>
      </c>
      <c r="O40">
        <v>828</v>
      </c>
      <c r="P40">
        <v>7</v>
      </c>
      <c r="Q40">
        <v>17</v>
      </c>
      <c r="R40">
        <v>10</v>
      </c>
      <c r="S40">
        <v>1371204</v>
      </c>
      <c r="T40">
        <v>1284406</v>
      </c>
      <c r="U40" t="s">
        <v>75</v>
      </c>
      <c r="V40">
        <v>0</v>
      </c>
      <c r="W40">
        <v>2.1999999999999999E-2</v>
      </c>
      <c r="X40">
        <v>86798</v>
      </c>
      <c r="Y40">
        <v>6.8000000000000005E-2</v>
      </c>
    </row>
    <row r="41" spans="1:25" x14ac:dyDescent="0.25">
      <c r="A41" t="s">
        <v>114</v>
      </c>
      <c r="B41">
        <v>46246</v>
      </c>
      <c r="C41">
        <v>46252</v>
      </c>
      <c r="D41" t="s">
        <v>77</v>
      </c>
      <c r="E41" t="s">
        <v>52</v>
      </c>
      <c r="F41" t="s">
        <v>46</v>
      </c>
      <c r="G41" t="s">
        <v>68</v>
      </c>
      <c r="H41" t="s">
        <v>69</v>
      </c>
      <c r="I41" t="s">
        <v>58</v>
      </c>
      <c r="J41" t="s">
        <v>59</v>
      </c>
      <c r="K41" t="s">
        <v>60</v>
      </c>
      <c r="L41">
        <v>65</v>
      </c>
      <c r="M41">
        <v>62</v>
      </c>
      <c r="N41">
        <v>3</v>
      </c>
      <c r="O41">
        <v>385</v>
      </c>
      <c r="P41">
        <v>4</v>
      </c>
      <c r="Q41">
        <v>6</v>
      </c>
      <c r="R41">
        <v>2</v>
      </c>
      <c r="S41">
        <v>698540</v>
      </c>
      <c r="T41">
        <v>724158</v>
      </c>
      <c r="U41" t="s">
        <v>33</v>
      </c>
      <c r="V41">
        <v>0</v>
      </c>
      <c r="W41">
        <v>4.5999999999999999E-2</v>
      </c>
      <c r="X41">
        <v>-25618</v>
      </c>
      <c r="Y41">
        <v>-3.5000000000000003E-2</v>
      </c>
    </row>
    <row r="42" spans="1:25" x14ac:dyDescent="0.25">
      <c r="A42" t="s">
        <v>115</v>
      </c>
      <c r="B42">
        <v>46192</v>
      </c>
      <c r="C42">
        <v>46198</v>
      </c>
      <c r="D42" t="s">
        <v>35</v>
      </c>
      <c r="E42" t="s">
        <v>67</v>
      </c>
      <c r="F42" t="s">
        <v>46</v>
      </c>
      <c r="G42" t="s">
        <v>38</v>
      </c>
      <c r="H42" t="s">
        <v>38</v>
      </c>
      <c r="I42" t="s">
        <v>72</v>
      </c>
      <c r="J42" t="s">
        <v>72</v>
      </c>
      <c r="K42" t="s">
        <v>32</v>
      </c>
      <c r="L42">
        <v>65</v>
      </c>
      <c r="M42">
        <v>64</v>
      </c>
      <c r="N42">
        <v>1</v>
      </c>
      <c r="O42">
        <v>839</v>
      </c>
      <c r="P42">
        <v>3</v>
      </c>
      <c r="Q42">
        <v>6</v>
      </c>
      <c r="R42">
        <v>3</v>
      </c>
      <c r="S42">
        <v>1002672</v>
      </c>
      <c r="T42">
        <v>1107881</v>
      </c>
      <c r="U42" t="s">
        <v>33</v>
      </c>
      <c r="V42">
        <v>0</v>
      </c>
      <c r="W42">
        <v>1.4999999999999999E-2</v>
      </c>
      <c r="X42">
        <v>-105209</v>
      </c>
      <c r="Y42">
        <v>-9.5000000000000001E-2</v>
      </c>
    </row>
    <row r="43" spans="1:25" x14ac:dyDescent="0.25">
      <c r="A43" t="s">
        <v>116</v>
      </c>
      <c r="B43">
        <v>46169</v>
      </c>
      <c r="C43">
        <v>46173</v>
      </c>
      <c r="D43" t="s">
        <v>26</v>
      </c>
      <c r="E43" t="s">
        <v>45</v>
      </c>
      <c r="F43" t="s">
        <v>53</v>
      </c>
      <c r="G43" t="s">
        <v>72</v>
      </c>
      <c r="H43" t="s">
        <v>72</v>
      </c>
      <c r="I43" t="s">
        <v>54</v>
      </c>
      <c r="J43" t="s">
        <v>55</v>
      </c>
      <c r="K43" t="s">
        <v>60</v>
      </c>
      <c r="L43">
        <v>122</v>
      </c>
      <c r="M43">
        <v>119</v>
      </c>
      <c r="N43">
        <v>3</v>
      </c>
      <c r="O43">
        <v>283</v>
      </c>
      <c r="P43">
        <v>3</v>
      </c>
      <c r="Q43">
        <v>4</v>
      </c>
      <c r="R43">
        <v>1</v>
      </c>
      <c r="S43">
        <v>1045736</v>
      </c>
      <c r="T43">
        <v>1153500</v>
      </c>
      <c r="U43" t="s">
        <v>33</v>
      </c>
      <c r="V43">
        <v>0</v>
      </c>
      <c r="W43">
        <v>2.5000000000000001E-2</v>
      </c>
      <c r="X43">
        <v>-107764</v>
      </c>
      <c r="Y43">
        <v>-9.2999999999999999E-2</v>
      </c>
    </row>
    <row r="44" spans="1:25" x14ac:dyDescent="0.25">
      <c r="A44" t="s">
        <v>117</v>
      </c>
      <c r="B44">
        <v>46148</v>
      </c>
      <c r="C44">
        <v>46150</v>
      </c>
      <c r="D44" t="s">
        <v>35</v>
      </c>
      <c r="E44" t="s">
        <v>52</v>
      </c>
      <c r="F44" t="s">
        <v>63</v>
      </c>
      <c r="G44" t="s">
        <v>88</v>
      </c>
      <c r="H44" t="s">
        <v>89</v>
      </c>
      <c r="I44" t="s">
        <v>38</v>
      </c>
      <c r="J44" t="s">
        <v>38</v>
      </c>
      <c r="K44" t="s">
        <v>41</v>
      </c>
      <c r="L44">
        <v>64</v>
      </c>
      <c r="M44">
        <v>63</v>
      </c>
      <c r="N44">
        <v>1</v>
      </c>
      <c r="O44">
        <v>202</v>
      </c>
      <c r="P44">
        <v>2</v>
      </c>
      <c r="Q44">
        <v>2</v>
      </c>
      <c r="R44">
        <v>0</v>
      </c>
      <c r="S44">
        <v>397034</v>
      </c>
      <c r="T44">
        <v>393885</v>
      </c>
      <c r="U44" t="s">
        <v>42</v>
      </c>
      <c r="V44">
        <v>1</v>
      </c>
      <c r="W44">
        <v>1.6E-2</v>
      </c>
      <c r="X44">
        <v>3149</v>
      </c>
      <c r="Y44">
        <v>8.0000000000000002E-3</v>
      </c>
    </row>
    <row r="45" spans="1:25" x14ac:dyDescent="0.25">
      <c r="A45" t="s">
        <v>118</v>
      </c>
      <c r="B45">
        <v>46246</v>
      </c>
      <c r="C45">
        <v>46249</v>
      </c>
      <c r="D45" t="s">
        <v>44</v>
      </c>
      <c r="E45" t="s">
        <v>67</v>
      </c>
      <c r="F45" t="s">
        <v>28</v>
      </c>
      <c r="G45" t="s">
        <v>30</v>
      </c>
      <c r="H45" t="s">
        <v>31</v>
      </c>
      <c r="I45" t="s">
        <v>68</v>
      </c>
      <c r="J45" t="s">
        <v>69</v>
      </c>
      <c r="K45" t="s">
        <v>41</v>
      </c>
      <c r="L45">
        <v>39</v>
      </c>
      <c r="M45">
        <v>39</v>
      </c>
      <c r="N45">
        <v>0</v>
      </c>
      <c r="O45">
        <v>277</v>
      </c>
      <c r="P45">
        <v>3</v>
      </c>
      <c r="Q45">
        <v>3</v>
      </c>
      <c r="R45">
        <v>0</v>
      </c>
      <c r="S45">
        <v>542347</v>
      </c>
      <c r="T45">
        <v>577677</v>
      </c>
      <c r="U45" t="s">
        <v>42</v>
      </c>
      <c r="V45">
        <v>1</v>
      </c>
      <c r="W45">
        <v>0</v>
      </c>
      <c r="X45">
        <v>-35330</v>
      </c>
      <c r="Y45">
        <v>-6.0999999999999999E-2</v>
      </c>
    </row>
    <row r="46" spans="1:25" x14ac:dyDescent="0.25">
      <c r="A46" t="s">
        <v>119</v>
      </c>
      <c r="B46">
        <v>46031</v>
      </c>
      <c r="C46">
        <v>46032</v>
      </c>
      <c r="D46" t="s">
        <v>57</v>
      </c>
      <c r="E46" t="s">
        <v>52</v>
      </c>
      <c r="F46" t="s">
        <v>63</v>
      </c>
      <c r="G46" t="s">
        <v>80</v>
      </c>
      <c r="H46" t="s">
        <v>80</v>
      </c>
      <c r="I46" t="s">
        <v>68</v>
      </c>
      <c r="J46" t="s">
        <v>69</v>
      </c>
      <c r="K46" t="s">
        <v>60</v>
      </c>
      <c r="L46">
        <v>69</v>
      </c>
      <c r="M46">
        <v>69</v>
      </c>
      <c r="N46">
        <v>0</v>
      </c>
      <c r="O46">
        <v>170</v>
      </c>
      <c r="P46">
        <v>1</v>
      </c>
      <c r="Q46">
        <v>1</v>
      </c>
      <c r="R46">
        <v>0</v>
      </c>
      <c r="S46">
        <v>957095</v>
      </c>
      <c r="T46">
        <v>909320</v>
      </c>
      <c r="U46" t="s">
        <v>42</v>
      </c>
      <c r="V46">
        <v>1</v>
      </c>
      <c r="W46">
        <v>0</v>
      </c>
      <c r="X46">
        <v>47775</v>
      </c>
      <c r="Y46">
        <v>5.2999999999999999E-2</v>
      </c>
    </row>
    <row r="47" spans="1:25" x14ac:dyDescent="0.25">
      <c r="A47" t="s">
        <v>120</v>
      </c>
      <c r="B47">
        <v>46131</v>
      </c>
      <c r="C47">
        <v>46134</v>
      </c>
      <c r="D47" t="s">
        <v>62</v>
      </c>
      <c r="E47" t="s">
        <v>57</v>
      </c>
      <c r="F47" t="s">
        <v>63</v>
      </c>
      <c r="G47" t="s">
        <v>72</v>
      </c>
      <c r="H47" t="s">
        <v>72</v>
      </c>
      <c r="I47" t="s">
        <v>58</v>
      </c>
      <c r="J47" t="s">
        <v>59</v>
      </c>
      <c r="K47" t="s">
        <v>60</v>
      </c>
      <c r="L47">
        <v>59</v>
      </c>
      <c r="M47">
        <v>57</v>
      </c>
      <c r="N47">
        <v>2</v>
      </c>
      <c r="O47">
        <v>542</v>
      </c>
      <c r="P47">
        <v>3</v>
      </c>
      <c r="Q47">
        <v>3</v>
      </c>
      <c r="R47">
        <v>0</v>
      </c>
      <c r="S47">
        <v>571032</v>
      </c>
      <c r="T47">
        <v>639523</v>
      </c>
      <c r="U47" t="s">
        <v>42</v>
      </c>
      <c r="V47">
        <v>1</v>
      </c>
      <c r="W47">
        <v>3.4000000000000002E-2</v>
      </c>
      <c r="X47">
        <v>-68491</v>
      </c>
      <c r="Y47">
        <v>-0.107</v>
      </c>
    </row>
    <row r="48" spans="1:25" x14ac:dyDescent="0.25">
      <c r="A48" t="s">
        <v>121</v>
      </c>
      <c r="B48">
        <v>46228</v>
      </c>
      <c r="C48">
        <v>46231</v>
      </c>
      <c r="D48" t="s">
        <v>44</v>
      </c>
      <c r="E48" t="s">
        <v>67</v>
      </c>
      <c r="F48" t="s">
        <v>28</v>
      </c>
      <c r="G48" t="s">
        <v>88</v>
      </c>
      <c r="H48" t="s">
        <v>89</v>
      </c>
      <c r="I48" t="s">
        <v>49</v>
      </c>
      <c r="J48" t="s">
        <v>50</v>
      </c>
      <c r="K48" t="s">
        <v>41</v>
      </c>
      <c r="L48">
        <v>114</v>
      </c>
      <c r="M48">
        <v>111</v>
      </c>
      <c r="N48">
        <v>3</v>
      </c>
      <c r="O48">
        <v>25</v>
      </c>
      <c r="P48">
        <v>3</v>
      </c>
      <c r="Q48">
        <v>3</v>
      </c>
      <c r="R48">
        <v>0</v>
      </c>
      <c r="S48">
        <v>1066770</v>
      </c>
      <c r="T48">
        <v>1025641</v>
      </c>
      <c r="U48" t="s">
        <v>42</v>
      </c>
      <c r="V48">
        <v>1</v>
      </c>
      <c r="W48">
        <v>2.5999999999999999E-2</v>
      </c>
      <c r="X48">
        <v>41129</v>
      </c>
      <c r="Y48">
        <v>0.04</v>
      </c>
    </row>
    <row r="49" spans="1:25" x14ac:dyDescent="0.25">
      <c r="A49" t="s">
        <v>122</v>
      </c>
      <c r="B49">
        <v>46149</v>
      </c>
      <c r="C49">
        <v>46155</v>
      </c>
      <c r="D49" t="s">
        <v>62</v>
      </c>
      <c r="E49" t="s">
        <v>27</v>
      </c>
      <c r="F49" t="s">
        <v>28</v>
      </c>
      <c r="G49" t="s">
        <v>91</v>
      </c>
      <c r="H49" t="s">
        <v>92</v>
      </c>
      <c r="I49" t="s">
        <v>73</v>
      </c>
      <c r="J49" t="s">
        <v>74</v>
      </c>
      <c r="K49" t="s">
        <v>41</v>
      </c>
      <c r="L49">
        <v>137</v>
      </c>
      <c r="M49">
        <v>134</v>
      </c>
      <c r="N49">
        <v>3</v>
      </c>
      <c r="O49">
        <v>758</v>
      </c>
      <c r="P49">
        <v>3</v>
      </c>
      <c r="Q49">
        <v>6</v>
      </c>
      <c r="R49">
        <v>3</v>
      </c>
      <c r="S49">
        <v>1632242</v>
      </c>
      <c r="T49">
        <v>1694252</v>
      </c>
      <c r="U49" t="s">
        <v>33</v>
      </c>
      <c r="V49">
        <v>0</v>
      </c>
      <c r="W49">
        <v>2.1999999999999999E-2</v>
      </c>
      <c r="X49">
        <v>-62010</v>
      </c>
      <c r="Y49">
        <v>-3.6999999999999998E-2</v>
      </c>
    </row>
    <row r="50" spans="1:25" x14ac:dyDescent="0.25">
      <c r="A50" t="s">
        <v>123</v>
      </c>
      <c r="B50">
        <v>46129</v>
      </c>
      <c r="C50">
        <v>46131</v>
      </c>
      <c r="D50" t="s">
        <v>26</v>
      </c>
      <c r="E50" t="s">
        <v>52</v>
      </c>
      <c r="F50" t="s">
        <v>53</v>
      </c>
      <c r="G50" t="s">
        <v>80</v>
      </c>
      <c r="H50" t="s">
        <v>80</v>
      </c>
      <c r="I50" t="s">
        <v>73</v>
      </c>
      <c r="J50" t="s">
        <v>74</v>
      </c>
      <c r="K50" t="s">
        <v>41</v>
      </c>
      <c r="L50">
        <v>42</v>
      </c>
      <c r="M50">
        <v>41</v>
      </c>
      <c r="N50">
        <v>1</v>
      </c>
      <c r="O50">
        <v>330</v>
      </c>
      <c r="P50">
        <v>2</v>
      </c>
      <c r="Q50">
        <v>2</v>
      </c>
      <c r="R50">
        <v>0</v>
      </c>
      <c r="S50">
        <v>611832</v>
      </c>
      <c r="T50">
        <v>610882</v>
      </c>
      <c r="U50" t="s">
        <v>42</v>
      </c>
      <c r="V50">
        <v>1</v>
      </c>
      <c r="W50">
        <v>2.4E-2</v>
      </c>
      <c r="X50">
        <v>950</v>
      </c>
      <c r="Y50">
        <v>2E-3</v>
      </c>
    </row>
    <row r="51" spans="1:25" x14ac:dyDescent="0.25">
      <c r="A51" t="s">
        <v>124</v>
      </c>
      <c r="B51">
        <v>46132</v>
      </c>
      <c r="C51">
        <v>46145</v>
      </c>
      <c r="D51" t="s">
        <v>62</v>
      </c>
      <c r="E51" t="s">
        <v>67</v>
      </c>
      <c r="F51" t="s">
        <v>63</v>
      </c>
      <c r="G51" t="s">
        <v>54</v>
      </c>
      <c r="H51" t="s">
        <v>55</v>
      </c>
      <c r="I51" t="s">
        <v>29</v>
      </c>
      <c r="J51" t="s">
        <v>29</v>
      </c>
      <c r="K51" t="s">
        <v>41</v>
      </c>
      <c r="L51">
        <v>136</v>
      </c>
      <c r="M51">
        <v>134</v>
      </c>
      <c r="N51">
        <v>2</v>
      </c>
      <c r="O51">
        <v>162</v>
      </c>
      <c r="P51">
        <v>6</v>
      </c>
      <c r="Q51">
        <v>13</v>
      </c>
      <c r="R51">
        <v>7</v>
      </c>
      <c r="S51">
        <v>1561572</v>
      </c>
      <c r="T51">
        <v>1590341</v>
      </c>
      <c r="U51" t="s">
        <v>75</v>
      </c>
      <c r="V51">
        <v>0</v>
      </c>
      <c r="W51">
        <v>1.4999999999999999E-2</v>
      </c>
      <c r="X51">
        <v>-28769</v>
      </c>
      <c r="Y51">
        <v>-1.7999999999999999E-2</v>
      </c>
    </row>
    <row r="52" spans="1:25" x14ac:dyDescent="0.25">
      <c r="A52" t="s">
        <v>125</v>
      </c>
      <c r="B52">
        <v>46152</v>
      </c>
      <c r="C52">
        <v>46156</v>
      </c>
      <c r="D52" t="s">
        <v>57</v>
      </c>
      <c r="E52" t="s">
        <v>85</v>
      </c>
      <c r="F52" t="s">
        <v>37</v>
      </c>
      <c r="G52" t="s">
        <v>58</v>
      </c>
      <c r="H52" t="s">
        <v>59</v>
      </c>
      <c r="I52" t="s">
        <v>68</v>
      </c>
      <c r="J52" t="s">
        <v>69</v>
      </c>
      <c r="K52" t="s">
        <v>41</v>
      </c>
      <c r="L52">
        <v>119</v>
      </c>
      <c r="M52">
        <v>119</v>
      </c>
      <c r="N52">
        <v>0</v>
      </c>
      <c r="O52">
        <v>135</v>
      </c>
      <c r="P52">
        <v>4</v>
      </c>
      <c r="Q52">
        <v>4</v>
      </c>
      <c r="R52">
        <v>0</v>
      </c>
      <c r="S52">
        <v>666440</v>
      </c>
      <c r="T52">
        <v>630191</v>
      </c>
      <c r="U52" t="s">
        <v>42</v>
      </c>
      <c r="V52">
        <v>1</v>
      </c>
      <c r="W52">
        <v>0</v>
      </c>
      <c r="X52">
        <v>36249</v>
      </c>
      <c r="Y52">
        <v>5.8000000000000003E-2</v>
      </c>
    </row>
    <row r="53" spans="1:25" x14ac:dyDescent="0.25">
      <c r="A53" t="s">
        <v>126</v>
      </c>
      <c r="B53">
        <v>46186</v>
      </c>
      <c r="C53">
        <v>46188</v>
      </c>
      <c r="D53" t="s">
        <v>26</v>
      </c>
      <c r="E53" t="s">
        <v>52</v>
      </c>
      <c r="F53" t="s">
        <v>63</v>
      </c>
      <c r="G53" t="s">
        <v>80</v>
      </c>
      <c r="H53" t="s">
        <v>80</v>
      </c>
      <c r="I53" t="s">
        <v>68</v>
      </c>
      <c r="J53" t="s">
        <v>69</v>
      </c>
      <c r="K53" t="s">
        <v>41</v>
      </c>
      <c r="L53">
        <v>151</v>
      </c>
      <c r="M53">
        <v>147</v>
      </c>
      <c r="N53">
        <v>4</v>
      </c>
      <c r="O53">
        <v>813</v>
      </c>
      <c r="P53">
        <v>2</v>
      </c>
      <c r="Q53">
        <v>2</v>
      </c>
      <c r="R53">
        <v>0</v>
      </c>
      <c r="S53">
        <v>1649157</v>
      </c>
      <c r="T53">
        <v>1631880</v>
      </c>
      <c r="U53" t="s">
        <v>42</v>
      </c>
      <c r="V53">
        <v>1</v>
      </c>
      <c r="W53">
        <v>2.5999999999999999E-2</v>
      </c>
      <c r="X53">
        <v>17277</v>
      </c>
      <c r="Y53">
        <v>1.0999999999999999E-2</v>
      </c>
    </row>
    <row r="54" spans="1:25" x14ac:dyDescent="0.25">
      <c r="A54" t="s">
        <v>127</v>
      </c>
      <c r="B54">
        <v>46116</v>
      </c>
      <c r="C54">
        <v>46122</v>
      </c>
      <c r="D54" t="s">
        <v>62</v>
      </c>
      <c r="E54" t="s">
        <v>52</v>
      </c>
      <c r="F54" t="s">
        <v>28</v>
      </c>
      <c r="G54" t="s">
        <v>64</v>
      </c>
      <c r="H54" t="s">
        <v>65</v>
      </c>
      <c r="I54" t="s">
        <v>39</v>
      </c>
      <c r="J54" t="s">
        <v>40</v>
      </c>
      <c r="K54" t="s">
        <v>41</v>
      </c>
      <c r="L54">
        <v>49</v>
      </c>
      <c r="M54">
        <v>48</v>
      </c>
      <c r="N54">
        <v>1</v>
      </c>
      <c r="O54">
        <v>97</v>
      </c>
      <c r="P54">
        <v>6</v>
      </c>
      <c r="Q54">
        <v>6</v>
      </c>
      <c r="R54">
        <v>0</v>
      </c>
      <c r="S54">
        <v>599019</v>
      </c>
      <c r="T54">
        <v>608740</v>
      </c>
      <c r="U54" t="s">
        <v>42</v>
      </c>
      <c r="V54">
        <v>1</v>
      </c>
      <c r="W54">
        <v>0.02</v>
      </c>
      <c r="X54">
        <v>-9721</v>
      </c>
      <c r="Y54">
        <v>-1.6E-2</v>
      </c>
    </row>
    <row r="55" spans="1:25" x14ac:dyDescent="0.25">
      <c r="A55" t="s">
        <v>128</v>
      </c>
      <c r="B55">
        <v>46034</v>
      </c>
      <c r="C55">
        <v>46039</v>
      </c>
      <c r="D55" t="s">
        <v>26</v>
      </c>
      <c r="E55" t="s">
        <v>85</v>
      </c>
      <c r="F55" t="s">
        <v>28</v>
      </c>
      <c r="G55" t="s">
        <v>30</v>
      </c>
      <c r="H55" t="s">
        <v>31</v>
      </c>
      <c r="I55" t="s">
        <v>72</v>
      </c>
      <c r="J55" t="s">
        <v>72</v>
      </c>
      <c r="K55" t="s">
        <v>32</v>
      </c>
      <c r="L55">
        <v>51</v>
      </c>
      <c r="M55">
        <v>49</v>
      </c>
      <c r="N55">
        <v>2</v>
      </c>
      <c r="O55">
        <v>663</v>
      </c>
      <c r="P55">
        <v>5</v>
      </c>
      <c r="Q55">
        <v>5</v>
      </c>
      <c r="R55">
        <v>0</v>
      </c>
      <c r="S55">
        <v>472974</v>
      </c>
      <c r="T55">
        <v>457471</v>
      </c>
      <c r="U55" t="s">
        <v>42</v>
      </c>
      <c r="V55">
        <v>1</v>
      </c>
      <c r="W55">
        <v>3.9E-2</v>
      </c>
      <c r="X55">
        <v>15503</v>
      </c>
      <c r="Y55">
        <v>3.4000000000000002E-2</v>
      </c>
    </row>
    <row r="56" spans="1:25" x14ac:dyDescent="0.25">
      <c r="A56" t="s">
        <v>129</v>
      </c>
      <c r="B56">
        <v>46040</v>
      </c>
      <c r="C56">
        <v>46042</v>
      </c>
      <c r="D56" t="s">
        <v>62</v>
      </c>
      <c r="E56" t="s">
        <v>45</v>
      </c>
      <c r="F56" t="s">
        <v>28</v>
      </c>
      <c r="G56" t="s">
        <v>68</v>
      </c>
      <c r="H56" t="s">
        <v>69</v>
      </c>
      <c r="I56" t="s">
        <v>49</v>
      </c>
      <c r="J56" t="s">
        <v>50</v>
      </c>
      <c r="K56" t="s">
        <v>41</v>
      </c>
      <c r="L56">
        <v>7</v>
      </c>
      <c r="M56">
        <v>7</v>
      </c>
      <c r="N56">
        <v>0</v>
      </c>
      <c r="O56">
        <v>647</v>
      </c>
      <c r="P56">
        <v>2</v>
      </c>
      <c r="Q56">
        <v>2</v>
      </c>
      <c r="R56">
        <v>0</v>
      </c>
      <c r="S56">
        <v>288315</v>
      </c>
      <c r="T56">
        <v>308474</v>
      </c>
      <c r="U56" t="s">
        <v>42</v>
      </c>
      <c r="V56">
        <v>1</v>
      </c>
      <c r="W56">
        <v>0</v>
      </c>
      <c r="X56">
        <v>-20159</v>
      </c>
      <c r="Y56">
        <v>-6.5000000000000002E-2</v>
      </c>
    </row>
    <row r="57" spans="1:25" x14ac:dyDescent="0.25">
      <c r="A57" t="s">
        <v>130</v>
      </c>
      <c r="B57">
        <v>46043</v>
      </c>
      <c r="C57">
        <v>46045</v>
      </c>
      <c r="D57" t="s">
        <v>57</v>
      </c>
      <c r="E57" t="s">
        <v>52</v>
      </c>
      <c r="F57" t="s">
        <v>63</v>
      </c>
      <c r="G57" t="s">
        <v>29</v>
      </c>
      <c r="H57" t="s">
        <v>29</v>
      </c>
      <c r="I57" t="s">
        <v>64</v>
      </c>
      <c r="J57" t="s">
        <v>65</v>
      </c>
      <c r="K57" t="s">
        <v>32</v>
      </c>
      <c r="L57">
        <v>48</v>
      </c>
      <c r="M57">
        <v>48</v>
      </c>
      <c r="N57">
        <v>0</v>
      </c>
      <c r="O57">
        <v>561</v>
      </c>
      <c r="P57">
        <v>2</v>
      </c>
      <c r="Q57">
        <v>2</v>
      </c>
      <c r="R57">
        <v>0</v>
      </c>
      <c r="S57">
        <v>608706</v>
      </c>
      <c r="T57">
        <v>632274</v>
      </c>
      <c r="U57" t="s">
        <v>42</v>
      </c>
      <c r="V57">
        <v>1</v>
      </c>
      <c r="W57">
        <v>0</v>
      </c>
      <c r="X57">
        <v>-23568</v>
      </c>
      <c r="Y57">
        <v>-3.6999999999999998E-2</v>
      </c>
    </row>
    <row r="58" spans="1:25" x14ac:dyDescent="0.25">
      <c r="A58" t="s">
        <v>131</v>
      </c>
      <c r="B58">
        <v>46254</v>
      </c>
      <c r="C58">
        <v>46259</v>
      </c>
      <c r="D58" t="s">
        <v>57</v>
      </c>
      <c r="E58" t="s">
        <v>85</v>
      </c>
      <c r="F58" t="s">
        <v>37</v>
      </c>
      <c r="G58" t="s">
        <v>58</v>
      </c>
      <c r="H58" t="s">
        <v>59</v>
      </c>
      <c r="I58" t="s">
        <v>47</v>
      </c>
      <c r="J58" t="s">
        <v>48</v>
      </c>
      <c r="K58" t="s">
        <v>41</v>
      </c>
      <c r="L58">
        <v>12</v>
      </c>
      <c r="M58">
        <v>12</v>
      </c>
      <c r="N58">
        <v>0</v>
      </c>
      <c r="O58">
        <v>393</v>
      </c>
      <c r="P58">
        <v>4</v>
      </c>
      <c r="Q58">
        <v>5</v>
      </c>
      <c r="R58">
        <v>1</v>
      </c>
      <c r="S58">
        <v>227868</v>
      </c>
      <c r="T58">
        <v>226900</v>
      </c>
      <c r="U58" t="s">
        <v>33</v>
      </c>
      <c r="V58">
        <v>0</v>
      </c>
      <c r="W58">
        <v>0</v>
      </c>
      <c r="X58">
        <v>968</v>
      </c>
      <c r="Y58">
        <v>4.0000000000000001E-3</v>
      </c>
    </row>
    <row r="59" spans="1:25" x14ac:dyDescent="0.25">
      <c r="A59" t="s">
        <v>132</v>
      </c>
      <c r="B59">
        <v>46255</v>
      </c>
      <c r="C59">
        <v>46261</v>
      </c>
      <c r="D59" t="s">
        <v>26</v>
      </c>
      <c r="E59" t="s">
        <v>103</v>
      </c>
      <c r="F59" t="s">
        <v>46</v>
      </c>
      <c r="G59" t="s">
        <v>68</v>
      </c>
      <c r="H59" t="s">
        <v>69</v>
      </c>
      <c r="I59" t="s">
        <v>91</v>
      </c>
      <c r="J59" t="s">
        <v>92</v>
      </c>
      <c r="K59" t="s">
        <v>41</v>
      </c>
      <c r="L59">
        <v>25</v>
      </c>
      <c r="M59">
        <v>25</v>
      </c>
      <c r="N59">
        <v>0</v>
      </c>
      <c r="O59">
        <v>734</v>
      </c>
      <c r="P59">
        <v>6</v>
      </c>
      <c r="Q59">
        <v>6</v>
      </c>
      <c r="R59">
        <v>0</v>
      </c>
      <c r="S59">
        <v>344199</v>
      </c>
      <c r="T59">
        <v>327724</v>
      </c>
      <c r="U59" t="s">
        <v>42</v>
      </c>
      <c r="V59">
        <v>1</v>
      </c>
      <c r="W59">
        <v>0</v>
      </c>
      <c r="X59">
        <v>16475</v>
      </c>
      <c r="Y59">
        <v>0.05</v>
      </c>
    </row>
    <row r="60" spans="1:25" x14ac:dyDescent="0.25">
      <c r="A60" t="s">
        <v>133</v>
      </c>
      <c r="B60">
        <v>46057</v>
      </c>
      <c r="C60">
        <v>46070</v>
      </c>
      <c r="D60" t="s">
        <v>44</v>
      </c>
      <c r="E60" t="s">
        <v>57</v>
      </c>
      <c r="F60" t="s">
        <v>37</v>
      </c>
      <c r="G60" t="s">
        <v>29</v>
      </c>
      <c r="H60" t="s">
        <v>29</v>
      </c>
      <c r="I60" t="s">
        <v>73</v>
      </c>
      <c r="J60" t="s">
        <v>74</v>
      </c>
      <c r="K60" t="s">
        <v>32</v>
      </c>
      <c r="L60">
        <v>10</v>
      </c>
      <c r="M60">
        <v>10</v>
      </c>
      <c r="N60">
        <v>0</v>
      </c>
      <c r="O60">
        <v>346</v>
      </c>
      <c r="P60">
        <v>3</v>
      </c>
      <c r="Q60">
        <v>13</v>
      </c>
      <c r="R60">
        <v>10</v>
      </c>
      <c r="S60">
        <v>259264</v>
      </c>
      <c r="T60">
        <v>286092</v>
      </c>
      <c r="U60" t="s">
        <v>75</v>
      </c>
      <c r="V60">
        <v>0</v>
      </c>
      <c r="W60">
        <v>0</v>
      </c>
      <c r="X60">
        <v>-26828</v>
      </c>
      <c r="Y60">
        <v>-9.4E-2</v>
      </c>
    </row>
    <row r="61" spans="1:25" x14ac:dyDescent="0.25">
      <c r="A61" t="s">
        <v>134</v>
      </c>
      <c r="B61">
        <v>46205</v>
      </c>
      <c r="C61">
        <v>46210</v>
      </c>
      <c r="D61" t="s">
        <v>35</v>
      </c>
      <c r="E61" t="s">
        <v>67</v>
      </c>
      <c r="F61" t="s">
        <v>63</v>
      </c>
      <c r="G61" t="s">
        <v>38</v>
      </c>
      <c r="H61" t="s">
        <v>38</v>
      </c>
      <c r="I61" t="s">
        <v>49</v>
      </c>
      <c r="J61" t="s">
        <v>50</v>
      </c>
      <c r="K61" t="s">
        <v>41</v>
      </c>
      <c r="L61">
        <v>158</v>
      </c>
      <c r="M61">
        <v>155</v>
      </c>
      <c r="N61">
        <v>3</v>
      </c>
      <c r="O61">
        <v>142</v>
      </c>
      <c r="P61">
        <v>5</v>
      </c>
      <c r="Q61">
        <v>5</v>
      </c>
      <c r="R61">
        <v>0</v>
      </c>
      <c r="S61">
        <v>2172678</v>
      </c>
      <c r="T61">
        <v>2318789</v>
      </c>
      <c r="U61" t="s">
        <v>42</v>
      </c>
      <c r="V61">
        <v>1</v>
      </c>
      <c r="W61">
        <v>1.9E-2</v>
      </c>
      <c r="X61">
        <v>-146111</v>
      </c>
      <c r="Y61">
        <v>-6.3E-2</v>
      </c>
    </row>
    <row r="62" spans="1:25" x14ac:dyDescent="0.25">
      <c r="A62" t="s">
        <v>135</v>
      </c>
      <c r="B62">
        <v>46126</v>
      </c>
      <c r="C62">
        <v>46130</v>
      </c>
      <c r="D62" t="s">
        <v>35</v>
      </c>
      <c r="E62" t="s">
        <v>52</v>
      </c>
      <c r="F62" t="s">
        <v>37</v>
      </c>
      <c r="G62" t="s">
        <v>54</v>
      </c>
      <c r="H62" t="s">
        <v>55</v>
      </c>
      <c r="I62" t="s">
        <v>80</v>
      </c>
      <c r="J62" t="s">
        <v>80</v>
      </c>
      <c r="K62" t="s">
        <v>32</v>
      </c>
      <c r="L62">
        <v>138</v>
      </c>
      <c r="M62">
        <v>137</v>
      </c>
      <c r="N62">
        <v>1</v>
      </c>
      <c r="O62">
        <v>714</v>
      </c>
      <c r="P62">
        <v>3</v>
      </c>
      <c r="Q62">
        <v>4</v>
      </c>
      <c r="R62">
        <v>1</v>
      </c>
      <c r="S62">
        <v>914982</v>
      </c>
      <c r="T62">
        <v>853380</v>
      </c>
      <c r="U62" t="s">
        <v>33</v>
      </c>
      <c r="V62">
        <v>0</v>
      </c>
      <c r="W62">
        <v>7.0000000000000001E-3</v>
      </c>
      <c r="X62">
        <v>61602</v>
      </c>
      <c r="Y62">
        <v>7.1999999999999995E-2</v>
      </c>
    </row>
    <row r="63" spans="1:25" x14ac:dyDescent="0.25">
      <c r="A63" t="s">
        <v>136</v>
      </c>
      <c r="B63">
        <v>46064</v>
      </c>
      <c r="C63">
        <v>46067</v>
      </c>
      <c r="D63" t="s">
        <v>35</v>
      </c>
      <c r="E63" t="s">
        <v>67</v>
      </c>
      <c r="F63" t="s">
        <v>53</v>
      </c>
      <c r="G63" t="s">
        <v>47</v>
      </c>
      <c r="H63" t="s">
        <v>48</v>
      </c>
      <c r="I63" t="s">
        <v>38</v>
      </c>
      <c r="J63" t="s">
        <v>38</v>
      </c>
      <c r="K63" t="s">
        <v>32</v>
      </c>
      <c r="L63">
        <v>53</v>
      </c>
      <c r="M63">
        <v>51</v>
      </c>
      <c r="N63">
        <v>2</v>
      </c>
      <c r="O63">
        <v>605</v>
      </c>
      <c r="P63">
        <v>3</v>
      </c>
      <c r="Q63">
        <v>3</v>
      </c>
      <c r="R63">
        <v>0</v>
      </c>
      <c r="S63">
        <v>603670</v>
      </c>
      <c r="T63">
        <v>570383</v>
      </c>
      <c r="U63" t="s">
        <v>42</v>
      </c>
      <c r="V63">
        <v>1</v>
      </c>
      <c r="W63">
        <v>3.7999999999999999E-2</v>
      </c>
      <c r="X63">
        <v>33287</v>
      </c>
      <c r="Y63">
        <v>5.8000000000000003E-2</v>
      </c>
    </row>
    <row r="64" spans="1:25" x14ac:dyDescent="0.25">
      <c r="A64" t="s">
        <v>137</v>
      </c>
      <c r="B64">
        <v>46066</v>
      </c>
      <c r="C64">
        <v>46071</v>
      </c>
      <c r="D64" t="s">
        <v>57</v>
      </c>
      <c r="E64" t="s">
        <v>103</v>
      </c>
      <c r="F64" t="s">
        <v>28</v>
      </c>
      <c r="G64" t="s">
        <v>73</v>
      </c>
      <c r="H64" t="s">
        <v>74</v>
      </c>
      <c r="I64" t="s">
        <v>72</v>
      </c>
      <c r="J64" t="s">
        <v>72</v>
      </c>
      <c r="K64" t="s">
        <v>32</v>
      </c>
      <c r="L64">
        <v>97</v>
      </c>
      <c r="M64">
        <v>96</v>
      </c>
      <c r="N64">
        <v>1</v>
      </c>
      <c r="O64">
        <v>803</v>
      </c>
      <c r="P64">
        <v>5</v>
      </c>
      <c r="Q64">
        <v>5</v>
      </c>
      <c r="R64">
        <v>0</v>
      </c>
      <c r="S64">
        <v>1619242</v>
      </c>
      <c r="T64">
        <v>1554999</v>
      </c>
      <c r="U64" t="s">
        <v>42</v>
      </c>
      <c r="V64">
        <v>1</v>
      </c>
      <c r="W64">
        <v>0.01</v>
      </c>
      <c r="X64">
        <v>64243</v>
      </c>
      <c r="Y64">
        <v>4.1000000000000002E-2</v>
      </c>
    </row>
    <row r="65" spans="1:25" x14ac:dyDescent="0.25">
      <c r="A65" t="s">
        <v>138</v>
      </c>
      <c r="B65">
        <v>46115</v>
      </c>
      <c r="C65">
        <v>46121</v>
      </c>
      <c r="D65" t="s">
        <v>35</v>
      </c>
      <c r="E65" t="s">
        <v>52</v>
      </c>
      <c r="F65" t="s">
        <v>46</v>
      </c>
      <c r="G65" t="s">
        <v>54</v>
      </c>
      <c r="H65" t="s">
        <v>55</v>
      </c>
      <c r="I65" t="s">
        <v>30</v>
      </c>
      <c r="J65" t="s">
        <v>31</v>
      </c>
      <c r="K65" t="s">
        <v>41</v>
      </c>
      <c r="L65">
        <v>44</v>
      </c>
      <c r="M65">
        <v>43</v>
      </c>
      <c r="N65">
        <v>1</v>
      </c>
      <c r="O65">
        <v>319</v>
      </c>
      <c r="P65">
        <v>6</v>
      </c>
      <c r="Q65">
        <v>6</v>
      </c>
      <c r="R65">
        <v>0</v>
      </c>
      <c r="S65">
        <v>608124</v>
      </c>
      <c r="T65">
        <v>635380</v>
      </c>
      <c r="U65" t="s">
        <v>42</v>
      </c>
      <c r="V65">
        <v>1</v>
      </c>
      <c r="W65">
        <v>2.3E-2</v>
      </c>
      <c r="X65">
        <v>-27256</v>
      </c>
      <c r="Y65">
        <v>-4.2999999999999997E-2</v>
      </c>
    </row>
    <row r="66" spans="1:25" x14ac:dyDescent="0.25">
      <c r="A66" t="s">
        <v>139</v>
      </c>
      <c r="B66">
        <v>46220</v>
      </c>
      <c r="C66">
        <v>46229</v>
      </c>
      <c r="D66" t="s">
        <v>62</v>
      </c>
      <c r="E66" t="s">
        <v>52</v>
      </c>
      <c r="F66" t="s">
        <v>53</v>
      </c>
      <c r="G66" t="s">
        <v>72</v>
      </c>
      <c r="H66" t="s">
        <v>72</v>
      </c>
      <c r="I66" t="s">
        <v>47</v>
      </c>
      <c r="J66" t="s">
        <v>48</v>
      </c>
      <c r="K66" t="s">
        <v>32</v>
      </c>
      <c r="L66">
        <v>43</v>
      </c>
      <c r="M66">
        <v>43</v>
      </c>
      <c r="N66">
        <v>0</v>
      </c>
      <c r="O66">
        <v>222</v>
      </c>
      <c r="P66">
        <v>4</v>
      </c>
      <c r="Q66">
        <v>9</v>
      </c>
      <c r="R66">
        <v>5</v>
      </c>
      <c r="S66">
        <v>489347</v>
      </c>
      <c r="T66">
        <v>511632</v>
      </c>
      <c r="U66" t="s">
        <v>75</v>
      </c>
      <c r="V66">
        <v>0</v>
      </c>
      <c r="W66">
        <v>0</v>
      </c>
      <c r="X66">
        <v>-22285</v>
      </c>
      <c r="Y66">
        <v>-4.3999999999999997E-2</v>
      </c>
    </row>
    <row r="67" spans="1:25" x14ac:dyDescent="0.25">
      <c r="A67" t="s">
        <v>140</v>
      </c>
      <c r="B67">
        <v>46181</v>
      </c>
      <c r="C67">
        <v>46186</v>
      </c>
      <c r="D67" t="s">
        <v>44</v>
      </c>
      <c r="E67" t="s">
        <v>27</v>
      </c>
      <c r="F67" t="s">
        <v>37</v>
      </c>
      <c r="G67" t="s">
        <v>54</v>
      </c>
      <c r="H67" t="s">
        <v>55</v>
      </c>
      <c r="I67" t="s">
        <v>29</v>
      </c>
      <c r="J67" t="s">
        <v>29</v>
      </c>
      <c r="K67" t="s">
        <v>41</v>
      </c>
      <c r="L67">
        <v>101</v>
      </c>
      <c r="M67">
        <v>100</v>
      </c>
      <c r="N67">
        <v>1</v>
      </c>
      <c r="O67">
        <v>435</v>
      </c>
      <c r="P67">
        <v>5</v>
      </c>
      <c r="Q67">
        <v>5</v>
      </c>
      <c r="R67">
        <v>0</v>
      </c>
      <c r="S67">
        <v>740980</v>
      </c>
      <c r="T67">
        <v>686670</v>
      </c>
      <c r="U67" t="s">
        <v>42</v>
      </c>
      <c r="V67">
        <v>1</v>
      </c>
      <c r="W67">
        <v>0.01</v>
      </c>
      <c r="X67">
        <v>54310</v>
      </c>
      <c r="Y67">
        <v>7.9000000000000001E-2</v>
      </c>
    </row>
    <row r="68" spans="1:25" x14ac:dyDescent="0.25">
      <c r="A68" t="s">
        <v>141</v>
      </c>
      <c r="B68">
        <v>46144</v>
      </c>
      <c r="C68">
        <v>46149</v>
      </c>
      <c r="D68" t="s">
        <v>44</v>
      </c>
      <c r="E68" t="s">
        <v>36</v>
      </c>
      <c r="F68" t="s">
        <v>37</v>
      </c>
      <c r="G68" t="s">
        <v>49</v>
      </c>
      <c r="H68" t="s">
        <v>50</v>
      </c>
      <c r="I68" t="s">
        <v>72</v>
      </c>
      <c r="J68" t="s">
        <v>72</v>
      </c>
      <c r="K68" t="s">
        <v>32</v>
      </c>
      <c r="L68">
        <v>113</v>
      </c>
      <c r="M68">
        <v>112</v>
      </c>
      <c r="N68">
        <v>1</v>
      </c>
      <c r="O68">
        <v>240</v>
      </c>
      <c r="P68">
        <v>5</v>
      </c>
      <c r="Q68">
        <v>5</v>
      </c>
      <c r="R68">
        <v>0</v>
      </c>
      <c r="S68">
        <v>1436379</v>
      </c>
      <c r="T68">
        <v>1550512</v>
      </c>
      <c r="U68" t="s">
        <v>42</v>
      </c>
      <c r="V68">
        <v>1</v>
      </c>
      <c r="W68">
        <v>8.9999999999999993E-3</v>
      </c>
      <c r="X68">
        <v>-114133</v>
      </c>
      <c r="Y68">
        <v>-7.3999999999999996E-2</v>
      </c>
    </row>
    <row r="69" spans="1:25" x14ac:dyDescent="0.25">
      <c r="A69" t="s">
        <v>142</v>
      </c>
      <c r="B69">
        <v>46062</v>
      </c>
      <c r="C69">
        <v>46068</v>
      </c>
      <c r="D69" t="s">
        <v>44</v>
      </c>
      <c r="E69" t="s">
        <v>27</v>
      </c>
      <c r="F69" t="s">
        <v>28</v>
      </c>
      <c r="G69" t="s">
        <v>73</v>
      </c>
      <c r="H69" t="s">
        <v>74</v>
      </c>
      <c r="I69" t="s">
        <v>30</v>
      </c>
      <c r="J69" t="s">
        <v>31</v>
      </c>
      <c r="K69" t="s">
        <v>41</v>
      </c>
      <c r="L69">
        <v>152</v>
      </c>
      <c r="M69">
        <v>150</v>
      </c>
      <c r="N69">
        <v>2</v>
      </c>
      <c r="O69">
        <v>35</v>
      </c>
      <c r="P69">
        <v>5</v>
      </c>
      <c r="Q69">
        <v>6</v>
      </c>
      <c r="R69">
        <v>1</v>
      </c>
      <c r="S69">
        <v>1637052</v>
      </c>
      <c r="T69">
        <v>1600358</v>
      </c>
      <c r="U69" t="s">
        <v>33</v>
      </c>
      <c r="V69">
        <v>0</v>
      </c>
      <c r="W69">
        <v>1.2999999999999999E-2</v>
      </c>
      <c r="X69">
        <v>36694</v>
      </c>
      <c r="Y69">
        <v>2.3E-2</v>
      </c>
    </row>
    <row r="70" spans="1:25" x14ac:dyDescent="0.25">
      <c r="A70" t="s">
        <v>143</v>
      </c>
      <c r="B70">
        <v>46137</v>
      </c>
      <c r="C70">
        <v>46143</v>
      </c>
      <c r="D70" t="s">
        <v>57</v>
      </c>
      <c r="E70" t="s">
        <v>27</v>
      </c>
      <c r="F70" t="s">
        <v>46</v>
      </c>
      <c r="G70" t="s">
        <v>64</v>
      </c>
      <c r="H70" t="s">
        <v>65</v>
      </c>
      <c r="I70" t="s">
        <v>72</v>
      </c>
      <c r="J70" t="s">
        <v>72</v>
      </c>
      <c r="K70" t="s">
        <v>41</v>
      </c>
      <c r="L70">
        <v>104</v>
      </c>
      <c r="M70">
        <v>103</v>
      </c>
      <c r="N70">
        <v>1</v>
      </c>
      <c r="O70">
        <v>348</v>
      </c>
      <c r="P70">
        <v>5</v>
      </c>
      <c r="Q70">
        <v>6</v>
      </c>
      <c r="R70">
        <v>1</v>
      </c>
      <c r="S70">
        <v>1037100</v>
      </c>
      <c r="T70">
        <v>1089238</v>
      </c>
      <c r="U70" t="s">
        <v>33</v>
      </c>
      <c r="V70">
        <v>0</v>
      </c>
      <c r="W70">
        <v>0.01</v>
      </c>
      <c r="X70">
        <v>-52138</v>
      </c>
      <c r="Y70">
        <v>-4.8000000000000001E-2</v>
      </c>
    </row>
    <row r="71" spans="1:25" x14ac:dyDescent="0.25">
      <c r="A71" t="s">
        <v>144</v>
      </c>
      <c r="B71">
        <v>46177</v>
      </c>
      <c r="C71">
        <v>46179</v>
      </c>
      <c r="D71" t="s">
        <v>57</v>
      </c>
      <c r="E71" t="s">
        <v>85</v>
      </c>
      <c r="F71" t="s">
        <v>63</v>
      </c>
      <c r="G71" t="s">
        <v>91</v>
      </c>
      <c r="H71" t="s">
        <v>92</v>
      </c>
      <c r="I71" t="s">
        <v>80</v>
      </c>
      <c r="J71" t="s">
        <v>80</v>
      </c>
      <c r="K71" t="s">
        <v>41</v>
      </c>
      <c r="L71">
        <v>94</v>
      </c>
      <c r="M71">
        <v>91</v>
      </c>
      <c r="N71">
        <v>3</v>
      </c>
      <c r="O71">
        <v>646</v>
      </c>
      <c r="P71">
        <v>2</v>
      </c>
      <c r="Q71">
        <v>2</v>
      </c>
      <c r="R71">
        <v>0</v>
      </c>
      <c r="S71">
        <v>1604770</v>
      </c>
      <c r="T71">
        <v>1582992</v>
      </c>
      <c r="U71" t="s">
        <v>42</v>
      </c>
      <c r="V71">
        <v>1</v>
      </c>
      <c r="W71">
        <v>3.2000000000000001E-2</v>
      </c>
      <c r="X71">
        <v>21778</v>
      </c>
      <c r="Y71">
        <v>1.4E-2</v>
      </c>
    </row>
    <row r="72" spans="1:25" x14ac:dyDescent="0.25">
      <c r="A72" t="s">
        <v>145</v>
      </c>
      <c r="B72">
        <v>46079</v>
      </c>
      <c r="C72">
        <v>46085</v>
      </c>
      <c r="D72" t="s">
        <v>57</v>
      </c>
      <c r="E72" t="s">
        <v>36</v>
      </c>
      <c r="F72" t="s">
        <v>53</v>
      </c>
      <c r="G72" t="s">
        <v>47</v>
      </c>
      <c r="H72" t="s">
        <v>48</v>
      </c>
      <c r="I72" t="s">
        <v>64</v>
      </c>
      <c r="J72" t="s">
        <v>65</v>
      </c>
      <c r="K72" t="s">
        <v>32</v>
      </c>
      <c r="L72">
        <v>121</v>
      </c>
      <c r="M72">
        <v>121</v>
      </c>
      <c r="N72">
        <v>0</v>
      </c>
      <c r="O72">
        <v>690</v>
      </c>
      <c r="P72">
        <v>3</v>
      </c>
      <c r="Q72">
        <v>6</v>
      </c>
      <c r="R72">
        <v>3</v>
      </c>
      <c r="S72">
        <v>1655150</v>
      </c>
      <c r="T72">
        <v>1659951</v>
      </c>
      <c r="U72" t="s">
        <v>33</v>
      </c>
      <c r="V72">
        <v>0</v>
      </c>
      <c r="W72">
        <v>0</v>
      </c>
      <c r="X72">
        <v>-4801</v>
      </c>
      <c r="Y72">
        <v>-3.0000000000000001E-3</v>
      </c>
    </row>
    <row r="73" spans="1:25" x14ac:dyDescent="0.25">
      <c r="A73" t="s">
        <v>146</v>
      </c>
      <c r="B73">
        <v>46208</v>
      </c>
      <c r="C73">
        <v>46211</v>
      </c>
      <c r="D73" t="s">
        <v>77</v>
      </c>
      <c r="E73" t="s">
        <v>67</v>
      </c>
      <c r="F73" t="s">
        <v>63</v>
      </c>
      <c r="G73" t="s">
        <v>80</v>
      </c>
      <c r="H73" t="s">
        <v>80</v>
      </c>
      <c r="I73" t="s">
        <v>73</v>
      </c>
      <c r="J73" t="s">
        <v>74</v>
      </c>
      <c r="K73" t="s">
        <v>41</v>
      </c>
      <c r="L73">
        <v>92</v>
      </c>
      <c r="M73">
        <v>92</v>
      </c>
      <c r="N73">
        <v>0</v>
      </c>
      <c r="O73">
        <v>185</v>
      </c>
      <c r="P73">
        <v>2</v>
      </c>
      <c r="Q73">
        <v>3</v>
      </c>
      <c r="R73">
        <v>1</v>
      </c>
      <c r="S73">
        <v>1075730</v>
      </c>
      <c r="T73">
        <v>1114582</v>
      </c>
      <c r="U73" t="s">
        <v>33</v>
      </c>
      <c r="V73">
        <v>0</v>
      </c>
      <c r="W73">
        <v>0</v>
      </c>
      <c r="X73">
        <v>-38852</v>
      </c>
      <c r="Y73">
        <v>-3.5000000000000003E-2</v>
      </c>
    </row>
    <row r="74" spans="1:25" x14ac:dyDescent="0.25">
      <c r="A74" t="s">
        <v>147</v>
      </c>
      <c r="B74">
        <v>46107</v>
      </c>
      <c r="C74">
        <v>46114</v>
      </c>
      <c r="D74" t="s">
        <v>57</v>
      </c>
      <c r="E74" t="s">
        <v>36</v>
      </c>
      <c r="F74" t="s">
        <v>37</v>
      </c>
      <c r="G74" t="s">
        <v>72</v>
      </c>
      <c r="H74" t="s">
        <v>72</v>
      </c>
      <c r="I74" t="s">
        <v>29</v>
      </c>
      <c r="J74" t="s">
        <v>29</v>
      </c>
      <c r="K74" t="s">
        <v>41</v>
      </c>
      <c r="L74">
        <v>122</v>
      </c>
      <c r="M74">
        <v>122</v>
      </c>
      <c r="N74">
        <v>0</v>
      </c>
      <c r="O74">
        <v>366</v>
      </c>
      <c r="P74">
        <v>7</v>
      </c>
      <c r="Q74">
        <v>7</v>
      </c>
      <c r="R74">
        <v>0</v>
      </c>
      <c r="S74">
        <v>1304912</v>
      </c>
      <c r="T74">
        <v>1248660</v>
      </c>
      <c r="U74" t="s">
        <v>42</v>
      </c>
      <c r="V74">
        <v>1</v>
      </c>
      <c r="W74">
        <v>0</v>
      </c>
      <c r="X74">
        <v>56252</v>
      </c>
      <c r="Y74">
        <v>4.4999999999999998E-2</v>
      </c>
    </row>
    <row r="75" spans="1:25" x14ac:dyDescent="0.25">
      <c r="A75" t="s">
        <v>148</v>
      </c>
      <c r="B75">
        <v>46075</v>
      </c>
      <c r="C75">
        <v>46076</v>
      </c>
      <c r="D75" t="s">
        <v>26</v>
      </c>
      <c r="E75" t="s">
        <v>45</v>
      </c>
      <c r="F75" t="s">
        <v>46</v>
      </c>
      <c r="G75" t="s">
        <v>54</v>
      </c>
      <c r="H75" t="s">
        <v>55</v>
      </c>
      <c r="I75" t="s">
        <v>68</v>
      </c>
      <c r="J75" t="s">
        <v>69</v>
      </c>
      <c r="K75" t="s">
        <v>41</v>
      </c>
      <c r="L75">
        <v>23</v>
      </c>
      <c r="M75">
        <v>23</v>
      </c>
      <c r="N75">
        <v>0</v>
      </c>
      <c r="O75">
        <v>42</v>
      </c>
      <c r="P75">
        <v>1</v>
      </c>
      <c r="Q75">
        <v>1</v>
      </c>
      <c r="R75">
        <v>0</v>
      </c>
      <c r="S75">
        <v>130698</v>
      </c>
      <c r="T75">
        <v>138907</v>
      </c>
      <c r="U75" t="s">
        <v>42</v>
      </c>
      <c r="V75">
        <v>1</v>
      </c>
      <c r="W75">
        <v>0</v>
      </c>
      <c r="X75">
        <v>-8209</v>
      </c>
      <c r="Y75">
        <v>-5.8999999999999997E-2</v>
      </c>
    </row>
    <row r="76" spans="1:25" x14ac:dyDescent="0.25">
      <c r="A76" t="s">
        <v>149</v>
      </c>
      <c r="B76">
        <v>46192</v>
      </c>
      <c r="C76">
        <v>46197</v>
      </c>
      <c r="D76" t="s">
        <v>77</v>
      </c>
      <c r="E76" t="s">
        <v>85</v>
      </c>
      <c r="F76" t="s">
        <v>28</v>
      </c>
      <c r="G76" t="s">
        <v>58</v>
      </c>
      <c r="H76" t="s">
        <v>59</v>
      </c>
      <c r="I76" t="s">
        <v>54</v>
      </c>
      <c r="J76" t="s">
        <v>55</v>
      </c>
      <c r="K76" t="s">
        <v>41</v>
      </c>
      <c r="L76">
        <v>12</v>
      </c>
      <c r="M76">
        <v>12</v>
      </c>
      <c r="N76">
        <v>0</v>
      </c>
      <c r="O76">
        <v>79</v>
      </c>
      <c r="P76">
        <v>5</v>
      </c>
      <c r="Q76">
        <v>5</v>
      </c>
      <c r="R76">
        <v>0</v>
      </c>
      <c r="S76">
        <v>172576</v>
      </c>
      <c r="T76">
        <v>171654</v>
      </c>
      <c r="U76" t="s">
        <v>42</v>
      </c>
      <c r="V76">
        <v>1</v>
      </c>
      <c r="W76">
        <v>0</v>
      </c>
      <c r="X76">
        <v>922</v>
      </c>
      <c r="Y76">
        <v>5.0000000000000001E-3</v>
      </c>
    </row>
    <row r="77" spans="1:25" x14ac:dyDescent="0.25">
      <c r="A77" t="s">
        <v>150</v>
      </c>
      <c r="B77">
        <v>46034</v>
      </c>
      <c r="C77">
        <v>46035</v>
      </c>
      <c r="D77" t="s">
        <v>44</v>
      </c>
      <c r="E77" t="s">
        <v>36</v>
      </c>
      <c r="F77" t="s">
        <v>37</v>
      </c>
      <c r="G77" t="s">
        <v>29</v>
      </c>
      <c r="H77" t="s">
        <v>29</v>
      </c>
      <c r="I77" t="s">
        <v>68</v>
      </c>
      <c r="J77" t="s">
        <v>69</v>
      </c>
      <c r="K77" t="s">
        <v>32</v>
      </c>
      <c r="L77">
        <v>76</v>
      </c>
      <c r="M77">
        <v>76</v>
      </c>
      <c r="N77">
        <v>0</v>
      </c>
      <c r="O77">
        <v>78</v>
      </c>
      <c r="P77">
        <v>1</v>
      </c>
      <c r="Q77">
        <v>1</v>
      </c>
      <c r="R77">
        <v>0</v>
      </c>
      <c r="S77">
        <v>623044</v>
      </c>
      <c r="T77">
        <v>595448</v>
      </c>
      <c r="U77" t="s">
        <v>42</v>
      </c>
      <c r="V77">
        <v>1</v>
      </c>
      <c r="W77">
        <v>0</v>
      </c>
      <c r="X77">
        <v>27596</v>
      </c>
      <c r="Y77">
        <v>4.5999999999999999E-2</v>
      </c>
    </row>
    <row r="78" spans="1:25" x14ac:dyDescent="0.25">
      <c r="A78" t="s">
        <v>151</v>
      </c>
      <c r="B78">
        <v>46208</v>
      </c>
      <c r="C78">
        <v>46210</v>
      </c>
      <c r="D78" t="s">
        <v>62</v>
      </c>
      <c r="E78" t="s">
        <v>45</v>
      </c>
      <c r="F78" t="s">
        <v>37</v>
      </c>
      <c r="G78" t="s">
        <v>30</v>
      </c>
      <c r="H78" t="s">
        <v>31</v>
      </c>
      <c r="I78" t="s">
        <v>88</v>
      </c>
      <c r="J78" t="s">
        <v>89</v>
      </c>
      <c r="K78" t="s">
        <v>32</v>
      </c>
      <c r="L78">
        <v>11</v>
      </c>
      <c r="M78">
        <v>11</v>
      </c>
      <c r="N78">
        <v>0</v>
      </c>
      <c r="O78">
        <v>354</v>
      </c>
      <c r="P78">
        <v>2</v>
      </c>
      <c r="Q78">
        <v>2</v>
      </c>
      <c r="R78">
        <v>0</v>
      </c>
      <c r="S78">
        <v>257866</v>
      </c>
      <c r="T78">
        <v>247958</v>
      </c>
      <c r="U78" t="s">
        <v>42</v>
      </c>
      <c r="V78">
        <v>1</v>
      </c>
      <c r="W78">
        <v>0</v>
      </c>
      <c r="X78">
        <v>9908</v>
      </c>
      <c r="Y78">
        <v>0.04</v>
      </c>
    </row>
    <row r="79" spans="1:25" x14ac:dyDescent="0.25">
      <c r="A79" t="s">
        <v>152</v>
      </c>
      <c r="B79">
        <v>46156</v>
      </c>
      <c r="C79">
        <v>46159</v>
      </c>
      <c r="D79" t="s">
        <v>62</v>
      </c>
      <c r="E79" t="s">
        <v>45</v>
      </c>
      <c r="F79" t="s">
        <v>37</v>
      </c>
      <c r="G79" t="s">
        <v>49</v>
      </c>
      <c r="H79" t="s">
        <v>50</v>
      </c>
      <c r="I79" t="s">
        <v>47</v>
      </c>
      <c r="J79" t="s">
        <v>48</v>
      </c>
      <c r="K79" t="s">
        <v>41</v>
      </c>
      <c r="L79">
        <v>24</v>
      </c>
      <c r="M79">
        <v>23</v>
      </c>
      <c r="N79">
        <v>1</v>
      </c>
      <c r="O79">
        <v>285</v>
      </c>
      <c r="P79">
        <v>3</v>
      </c>
      <c r="Q79">
        <v>3</v>
      </c>
      <c r="R79">
        <v>0</v>
      </c>
      <c r="S79">
        <v>290031</v>
      </c>
      <c r="T79">
        <v>311715</v>
      </c>
      <c r="U79" t="s">
        <v>42</v>
      </c>
      <c r="V79">
        <v>1</v>
      </c>
      <c r="W79">
        <v>4.2000000000000003E-2</v>
      </c>
      <c r="X79">
        <v>-21684</v>
      </c>
      <c r="Y79">
        <v>-7.0000000000000007E-2</v>
      </c>
    </row>
    <row r="80" spans="1:25" x14ac:dyDescent="0.25">
      <c r="A80" t="s">
        <v>153</v>
      </c>
      <c r="B80">
        <v>46112</v>
      </c>
      <c r="C80">
        <v>46117</v>
      </c>
      <c r="D80" t="s">
        <v>44</v>
      </c>
      <c r="E80" t="s">
        <v>27</v>
      </c>
      <c r="F80" t="s">
        <v>46</v>
      </c>
      <c r="G80" t="s">
        <v>30</v>
      </c>
      <c r="H80" t="s">
        <v>31</v>
      </c>
      <c r="I80" t="s">
        <v>49</v>
      </c>
      <c r="J80" t="s">
        <v>50</v>
      </c>
      <c r="K80" t="s">
        <v>41</v>
      </c>
      <c r="L80">
        <v>124</v>
      </c>
      <c r="M80">
        <v>122</v>
      </c>
      <c r="N80">
        <v>2</v>
      </c>
      <c r="O80">
        <v>83</v>
      </c>
      <c r="P80">
        <v>5</v>
      </c>
      <c r="Q80">
        <v>5</v>
      </c>
      <c r="R80">
        <v>0</v>
      </c>
      <c r="S80">
        <v>1601664</v>
      </c>
      <c r="T80">
        <v>1729750</v>
      </c>
      <c r="U80" t="s">
        <v>42</v>
      </c>
      <c r="V80">
        <v>1</v>
      </c>
      <c r="W80">
        <v>1.6E-2</v>
      </c>
      <c r="X80">
        <v>-128086</v>
      </c>
      <c r="Y80">
        <v>-7.3999999999999996E-2</v>
      </c>
    </row>
    <row r="81" spans="1:25" x14ac:dyDescent="0.25">
      <c r="A81" t="s">
        <v>154</v>
      </c>
      <c r="B81">
        <v>46048</v>
      </c>
      <c r="C81">
        <v>46063</v>
      </c>
      <c r="D81" t="s">
        <v>44</v>
      </c>
      <c r="E81" t="s">
        <v>45</v>
      </c>
      <c r="F81" t="s">
        <v>46</v>
      </c>
      <c r="G81" t="s">
        <v>29</v>
      </c>
      <c r="H81" t="s">
        <v>29</v>
      </c>
      <c r="I81" t="s">
        <v>64</v>
      </c>
      <c r="J81" t="s">
        <v>65</v>
      </c>
      <c r="K81" t="s">
        <v>41</v>
      </c>
      <c r="L81">
        <v>33</v>
      </c>
      <c r="M81">
        <v>32</v>
      </c>
      <c r="N81">
        <v>1</v>
      </c>
      <c r="O81">
        <v>133</v>
      </c>
      <c r="P81">
        <v>5</v>
      </c>
      <c r="Q81">
        <v>15</v>
      </c>
      <c r="R81">
        <v>10</v>
      </c>
      <c r="S81">
        <v>475160</v>
      </c>
      <c r="T81">
        <v>515318</v>
      </c>
      <c r="U81" t="s">
        <v>75</v>
      </c>
      <c r="V81">
        <v>0</v>
      </c>
      <c r="W81">
        <v>0.03</v>
      </c>
      <c r="X81">
        <v>-40158</v>
      </c>
      <c r="Y81">
        <v>-7.8E-2</v>
      </c>
    </row>
    <row r="82" spans="1:25" x14ac:dyDescent="0.25">
      <c r="A82" t="s">
        <v>155</v>
      </c>
      <c r="B82">
        <v>46043</v>
      </c>
      <c r="C82">
        <v>46047</v>
      </c>
      <c r="D82" t="s">
        <v>44</v>
      </c>
      <c r="E82" t="s">
        <v>27</v>
      </c>
      <c r="F82" t="s">
        <v>46</v>
      </c>
      <c r="G82" t="s">
        <v>91</v>
      </c>
      <c r="H82" t="s">
        <v>92</v>
      </c>
      <c r="I82" t="s">
        <v>58</v>
      </c>
      <c r="J82" t="s">
        <v>59</v>
      </c>
      <c r="K82" t="s">
        <v>32</v>
      </c>
      <c r="L82">
        <v>80</v>
      </c>
      <c r="M82">
        <v>77</v>
      </c>
      <c r="N82">
        <v>3</v>
      </c>
      <c r="O82">
        <v>623</v>
      </c>
      <c r="P82">
        <v>3</v>
      </c>
      <c r="Q82">
        <v>4</v>
      </c>
      <c r="R82">
        <v>1</v>
      </c>
      <c r="S82">
        <v>1309173</v>
      </c>
      <c r="T82">
        <v>1240280</v>
      </c>
      <c r="U82" t="s">
        <v>33</v>
      </c>
      <c r="V82">
        <v>0</v>
      </c>
      <c r="W82">
        <v>3.7999999999999999E-2</v>
      </c>
      <c r="X82">
        <v>68893</v>
      </c>
      <c r="Y82">
        <v>5.6000000000000001E-2</v>
      </c>
    </row>
    <row r="83" spans="1:25" x14ac:dyDescent="0.25">
      <c r="A83" t="s">
        <v>156</v>
      </c>
      <c r="B83">
        <v>46246</v>
      </c>
      <c r="C83">
        <v>46251</v>
      </c>
      <c r="D83" t="s">
        <v>44</v>
      </c>
      <c r="E83" t="s">
        <v>27</v>
      </c>
      <c r="F83" t="s">
        <v>63</v>
      </c>
      <c r="G83" t="s">
        <v>49</v>
      </c>
      <c r="H83" t="s">
        <v>50</v>
      </c>
      <c r="I83" t="s">
        <v>88</v>
      </c>
      <c r="J83" t="s">
        <v>89</v>
      </c>
      <c r="K83" t="s">
        <v>41</v>
      </c>
      <c r="L83">
        <v>134</v>
      </c>
      <c r="M83">
        <v>129</v>
      </c>
      <c r="N83">
        <v>5</v>
      </c>
      <c r="O83">
        <v>846</v>
      </c>
      <c r="P83">
        <v>5</v>
      </c>
      <c r="Q83">
        <v>5</v>
      </c>
      <c r="R83">
        <v>0</v>
      </c>
      <c r="S83">
        <v>1078056</v>
      </c>
      <c r="T83">
        <v>1009663</v>
      </c>
      <c r="U83" t="s">
        <v>42</v>
      </c>
      <c r="V83">
        <v>1</v>
      </c>
      <c r="W83">
        <v>3.6999999999999998E-2</v>
      </c>
      <c r="X83">
        <v>68393</v>
      </c>
      <c r="Y83">
        <v>6.8000000000000005E-2</v>
      </c>
    </row>
    <row r="84" spans="1:25" x14ac:dyDescent="0.25">
      <c r="A84" t="s">
        <v>157</v>
      </c>
      <c r="B84">
        <v>46037</v>
      </c>
      <c r="C84">
        <v>46042</v>
      </c>
      <c r="D84" t="s">
        <v>35</v>
      </c>
      <c r="E84" t="s">
        <v>67</v>
      </c>
      <c r="F84" t="s">
        <v>53</v>
      </c>
      <c r="G84" t="s">
        <v>80</v>
      </c>
      <c r="H84" t="s">
        <v>80</v>
      </c>
      <c r="I84" t="s">
        <v>38</v>
      </c>
      <c r="J84" t="s">
        <v>38</v>
      </c>
      <c r="K84" t="s">
        <v>32</v>
      </c>
      <c r="L84">
        <v>43</v>
      </c>
      <c r="M84">
        <v>42</v>
      </c>
      <c r="N84">
        <v>1</v>
      </c>
      <c r="O84">
        <v>768</v>
      </c>
      <c r="P84">
        <v>3</v>
      </c>
      <c r="Q84">
        <v>5</v>
      </c>
      <c r="R84">
        <v>2</v>
      </c>
      <c r="S84">
        <v>952018</v>
      </c>
      <c r="T84">
        <v>966498</v>
      </c>
      <c r="U84" t="s">
        <v>33</v>
      </c>
      <c r="V84">
        <v>0</v>
      </c>
      <c r="W84">
        <v>2.3E-2</v>
      </c>
      <c r="X84">
        <v>-14480</v>
      </c>
      <c r="Y84">
        <v>-1.4999999999999999E-2</v>
      </c>
    </row>
    <row r="85" spans="1:25" x14ac:dyDescent="0.25">
      <c r="A85" t="s">
        <v>158</v>
      </c>
      <c r="B85">
        <v>46237</v>
      </c>
      <c r="C85">
        <v>46241</v>
      </c>
      <c r="D85" t="s">
        <v>35</v>
      </c>
      <c r="E85" t="s">
        <v>52</v>
      </c>
      <c r="F85" t="s">
        <v>46</v>
      </c>
      <c r="G85" t="s">
        <v>47</v>
      </c>
      <c r="H85" t="s">
        <v>48</v>
      </c>
      <c r="I85" t="s">
        <v>30</v>
      </c>
      <c r="J85" t="s">
        <v>31</v>
      </c>
      <c r="K85" t="s">
        <v>41</v>
      </c>
      <c r="L85">
        <v>113</v>
      </c>
      <c r="M85">
        <v>111</v>
      </c>
      <c r="N85">
        <v>2</v>
      </c>
      <c r="O85">
        <v>506</v>
      </c>
      <c r="P85">
        <v>4</v>
      </c>
      <c r="Q85">
        <v>4</v>
      </c>
      <c r="R85">
        <v>0</v>
      </c>
      <c r="S85">
        <v>828883</v>
      </c>
      <c r="T85">
        <v>780243</v>
      </c>
      <c r="U85" t="s">
        <v>42</v>
      </c>
      <c r="V85">
        <v>1</v>
      </c>
      <c r="W85">
        <v>1.7999999999999999E-2</v>
      </c>
      <c r="X85">
        <v>48640</v>
      </c>
      <c r="Y85">
        <v>6.2E-2</v>
      </c>
    </row>
    <row r="86" spans="1:25" x14ac:dyDescent="0.25">
      <c r="A86" t="s">
        <v>159</v>
      </c>
      <c r="B86">
        <v>46130</v>
      </c>
      <c r="C86">
        <v>46133</v>
      </c>
      <c r="D86" t="s">
        <v>77</v>
      </c>
      <c r="E86" t="s">
        <v>36</v>
      </c>
      <c r="F86" t="s">
        <v>37</v>
      </c>
      <c r="G86" t="s">
        <v>68</v>
      </c>
      <c r="H86" t="s">
        <v>69</v>
      </c>
      <c r="I86" t="s">
        <v>80</v>
      </c>
      <c r="J86" t="s">
        <v>80</v>
      </c>
      <c r="K86" t="s">
        <v>41</v>
      </c>
      <c r="L86">
        <v>135</v>
      </c>
      <c r="M86">
        <v>131</v>
      </c>
      <c r="N86">
        <v>4</v>
      </c>
      <c r="O86">
        <v>522</v>
      </c>
      <c r="P86">
        <v>3</v>
      </c>
      <c r="Q86">
        <v>3</v>
      </c>
      <c r="R86">
        <v>0</v>
      </c>
      <c r="S86">
        <v>910674</v>
      </c>
      <c r="T86">
        <v>964348</v>
      </c>
      <c r="U86" t="s">
        <v>42</v>
      </c>
      <c r="V86">
        <v>1</v>
      </c>
      <c r="W86">
        <v>0.03</v>
      </c>
      <c r="X86">
        <v>-53674</v>
      </c>
      <c r="Y86">
        <v>-5.6000000000000001E-2</v>
      </c>
    </row>
    <row r="87" spans="1:25" x14ac:dyDescent="0.25">
      <c r="A87" t="s">
        <v>160</v>
      </c>
      <c r="B87">
        <v>46043</v>
      </c>
      <c r="C87">
        <v>46050</v>
      </c>
      <c r="D87" t="s">
        <v>62</v>
      </c>
      <c r="E87" t="s">
        <v>52</v>
      </c>
      <c r="F87" t="s">
        <v>63</v>
      </c>
      <c r="G87" t="s">
        <v>72</v>
      </c>
      <c r="H87" t="s">
        <v>72</v>
      </c>
      <c r="I87" t="s">
        <v>68</v>
      </c>
      <c r="J87" t="s">
        <v>69</v>
      </c>
      <c r="K87" t="s">
        <v>32</v>
      </c>
      <c r="L87">
        <v>51</v>
      </c>
      <c r="M87">
        <v>51</v>
      </c>
      <c r="N87">
        <v>0</v>
      </c>
      <c r="O87">
        <v>36</v>
      </c>
      <c r="P87">
        <v>7</v>
      </c>
      <c r="Q87">
        <v>7</v>
      </c>
      <c r="R87">
        <v>0</v>
      </c>
      <c r="S87">
        <v>306135</v>
      </c>
      <c r="T87">
        <v>335092</v>
      </c>
      <c r="U87" t="s">
        <v>42</v>
      </c>
      <c r="V87">
        <v>1</v>
      </c>
      <c r="W87">
        <v>0</v>
      </c>
      <c r="X87">
        <v>-28957</v>
      </c>
      <c r="Y87">
        <v>-8.5999999999999993E-2</v>
      </c>
    </row>
    <row r="88" spans="1:25" x14ac:dyDescent="0.25">
      <c r="A88" t="s">
        <v>161</v>
      </c>
      <c r="B88">
        <v>46051</v>
      </c>
      <c r="C88">
        <v>46058</v>
      </c>
      <c r="D88" t="s">
        <v>62</v>
      </c>
      <c r="E88" t="s">
        <v>103</v>
      </c>
      <c r="F88" t="s">
        <v>28</v>
      </c>
      <c r="G88" t="s">
        <v>91</v>
      </c>
      <c r="H88" t="s">
        <v>92</v>
      </c>
      <c r="I88" t="s">
        <v>38</v>
      </c>
      <c r="J88" t="s">
        <v>38</v>
      </c>
      <c r="K88" t="s">
        <v>41</v>
      </c>
      <c r="L88">
        <v>63</v>
      </c>
      <c r="M88">
        <v>61</v>
      </c>
      <c r="N88">
        <v>2</v>
      </c>
      <c r="O88">
        <v>513</v>
      </c>
      <c r="P88">
        <v>6</v>
      </c>
      <c r="Q88">
        <v>7</v>
      </c>
      <c r="R88">
        <v>1</v>
      </c>
      <c r="S88">
        <v>880047</v>
      </c>
      <c r="T88">
        <v>816582</v>
      </c>
      <c r="U88" t="s">
        <v>33</v>
      </c>
      <c r="V88">
        <v>0</v>
      </c>
      <c r="W88">
        <v>3.2000000000000001E-2</v>
      </c>
      <c r="X88">
        <v>63465</v>
      </c>
      <c r="Y88">
        <v>7.8E-2</v>
      </c>
    </row>
    <row r="89" spans="1:25" x14ac:dyDescent="0.25">
      <c r="A89" t="s">
        <v>162</v>
      </c>
      <c r="B89">
        <v>46105</v>
      </c>
      <c r="C89">
        <v>46110</v>
      </c>
      <c r="D89" t="s">
        <v>77</v>
      </c>
      <c r="E89" t="s">
        <v>57</v>
      </c>
      <c r="F89" t="s">
        <v>37</v>
      </c>
      <c r="G89" t="s">
        <v>29</v>
      </c>
      <c r="H89" t="s">
        <v>29</v>
      </c>
      <c r="I89" t="s">
        <v>54</v>
      </c>
      <c r="J89" t="s">
        <v>55</v>
      </c>
      <c r="K89" t="s">
        <v>32</v>
      </c>
      <c r="L89">
        <v>76</v>
      </c>
      <c r="M89">
        <v>74</v>
      </c>
      <c r="N89">
        <v>2</v>
      </c>
      <c r="O89">
        <v>522</v>
      </c>
      <c r="P89">
        <v>5</v>
      </c>
      <c r="Q89">
        <v>5</v>
      </c>
      <c r="R89">
        <v>0</v>
      </c>
      <c r="S89">
        <v>1217376</v>
      </c>
      <c r="T89">
        <v>1313631</v>
      </c>
      <c r="U89" t="s">
        <v>42</v>
      </c>
      <c r="V89">
        <v>1</v>
      </c>
      <c r="W89">
        <v>2.5999999999999999E-2</v>
      </c>
      <c r="X89">
        <v>-96255</v>
      </c>
      <c r="Y89">
        <v>-7.2999999999999995E-2</v>
      </c>
    </row>
    <row r="90" spans="1:25" x14ac:dyDescent="0.25">
      <c r="A90" t="s">
        <v>163</v>
      </c>
      <c r="B90">
        <v>46260</v>
      </c>
      <c r="C90">
        <v>46266</v>
      </c>
      <c r="D90" t="s">
        <v>35</v>
      </c>
      <c r="E90" t="s">
        <v>45</v>
      </c>
      <c r="F90" t="s">
        <v>63</v>
      </c>
      <c r="G90" t="s">
        <v>58</v>
      </c>
      <c r="H90" t="s">
        <v>59</v>
      </c>
      <c r="I90" t="s">
        <v>80</v>
      </c>
      <c r="J90" t="s">
        <v>80</v>
      </c>
      <c r="K90" t="s">
        <v>41</v>
      </c>
      <c r="L90">
        <v>156</v>
      </c>
      <c r="M90">
        <v>156</v>
      </c>
      <c r="N90">
        <v>0</v>
      </c>
      <c r="O90">
        <v>644</v>
      </c>
      <c r="P90">
        <v>4</v>
      </c>
      <c r="Q90">
        <v>6</v>
      </c>
      <c r="R90">
        <v>2</v>
      </c>
      <c r="S90">
        <v>2105948</v>
      </c>
      <c r="T90">
        <v>2310224</v>
      </c>
      <c r="U90" t="s">
        <v>33</v>
      </c>
      <c r="V90">
        <v>0</v>
      </c>
      <c r="W90">
        <v>0</v>
      </c>
      <c r="X90">
        <v>-204276</v>
      </c>
      <c r="Y90">
        <v>-8.7999999999999995E-2</v>
      </c>
    </row>
    <row r="91" spans="1:25" x14ac:dyDescent="0.25">
      <c r="A91" t="s">
        <v>164</v>
      </c>
      <c r="B91">
        <v>46167</v>
      </c>
      <c r="C91">
        <v>46175</v>
      </c>
      <c r="D91" t="s">
        <v>62</v>
      </c>
      <c r="E91" t="s">
        <v>27</v>
      </c>
      <c r="F91" t="s">
        <v>28</v>
      </c>
      <c r="G91" t="s">
        <v>91</v>
      </c>
      <c r="H91" t="s">
        <v>92</v>
      </c>
      <c r="I91" t="s">
        <v>64</v>
      </c>
      <c r="J91" t="s">
        <v>65</v>
      </c>
      <c r="K91" t="s">
        <v>41</v>
      </c>
      <c r="L91">
        <v>112</v>
      </c>
      <c r="M91">
        <v>108</v>
      </c>
      <c r="N91">
        <v>4</v>
      </c>
      <c r="O91">
        <v>474</v>
      </c>
      <c r="P91">
        <v>4</v>
      </c>
      <c r="Q91">
        <v>8</v>
      </c>
      <c r="R91">
        <v>4</v>
      </c>
      <c r="S91">
        <v>1634448</v>
      </c>
      <c r="T91">
        <v>1788118</v>
      </c>
      <c r="U91" t="s">
        <v>75</v>
      </c>
      <c r="V91">
        <v>0</v>
      </c>
      <c r="W91">
        <v>3.5999999999999997E-2</v>
      </c>
      <c r="X91">
        <v>-153670</v>
      </c>
      <c r="Y91">
        <v>-8.5999999999999993E-2</v>
      </c>
    </row>
    <row r="92" spans="1:25" x14ac:dyDescent="0.25">
      <c r="A92" t="s">
        <v>165</v>
      </c>
      <c r="B92">
        <v>46065</v>
      </c>
      <c r="C92">
        <v>46066</v>
      </c>
      <c r="D92" t="s">
        <v>77</v>
      </c>
      <c r="E92" t="s">
        <v>27</v>
      </c>
      <c r="F92" t="s">
        <v>46</v>
      </c>
      <c r="G92" t="s">
        <v>73</v>
      </c>
      <c r="H92" t="s">
        <v>74</v>
      </c>
      <c r="I92" t="s">
        <v>80</v>
      </c>
      <c r="J92" t="s">
        <v>80</v>
      </c>
      <c r="K92" t="s">
        <v>41</v>
      </c>
      <c r="L92">
        <v>66</v>
      </c>
      <c r="M92">
        <v>66</v>
      </c>
      <c r="N92">
        <v>0</v>
      </c>
      <c r="O92">
        <v>269</v>
      </c>
      <c r="P92">
        <v>1</v>
      </c>
      <c r="Q92">
        <v>1</v>
      </c>
      <c r="R92">
        <v>0</v>
      </c>
      <c r="S92">
        <v>473327</v>
      </c>
      <c r="T92">
        <v>461180</v>
      </c>
      <c r="U92" t="s">
        <v>42</v>
      </c>
      <c r="V92">
        <v>1</v>
      </c>
      <c r="W92">
        <v>0</v>
      </c>
      <c r="X92">
        <v>12147</v>
      </c>
      <c r="Y92">
        <v>2.5999999999999999E-2</v>
      </c>
    </row>
    <row r="93" spans="1:25" x14ac:dyDescent="0.25">
      <c r="A93" t="s">
        <v>166</v>
      </c>
      <c r="B93">
        <v>46029</v>
      </c>
      <c r="C93">
        <v>46033</v>
      </c>
      <c r="D93" t="s">
        <v>35</v>
      </c>
      <c r="E93" t="s">
        <v>57</v>
      </c>
      <c r="F93" t="s">
        <v>46</v>
      </c>
      <c r="G93" t="s">
        <v>54</v>
      </c>
      <c r="H93" t="s">
        <v>55</v>
      </c>
      <c r="I93" t="s">
        <v>72</v>
      </c>
      <c r="J93" t="s">
        <v>72</v>
      </c>
      <c r="K93" t="s">
        <v>32</v>
      </c>
      <c r="L93">
        <v>72</v>
      </c>
      <c r="M93">
        <v>71</v>
      </c>
      <c r="N93">
        <v>1</v>
      </c>
      <c r="O93">
        <v>170</v>
      </c>
      <c r="P93">
        <v>4</v>
      </c>
      <c r="Q93">
        <v>4</v>
      </c>
      <c r="R93">
        <v>0</v>
      </c>
      <c r="S93">
        <v>691276</v>
      </c>
      <c r="T93">
        <v>674307</v>
      </c>
      <c r="U93" t="s">
        <v>42</v>
      </c>
      <c r="V93">
        <v>1</v>
      </c>
      <c r="W93">
        <v>1.4E-2</v>
      </c>
      <c r="X93">
        <v>16969</v>
      </c>
      <c r="Y93">
        <v>2.5000000000000001E-2</v>
      </c>
    </row>
    <row r="94" spans="1:25" x14ac:dyDescent="0.25">
      <c r="A94" t="s">
        <v>167</v>
      </c>
      <c r="B94">
        <v>46222</v>
      </c>
      <c r="C94">
        <v>46231</v>
      </c>
      <c r="D94" t="s">
        <v>35</v>
      </c>
      <c r="E94" t="s">
        <v>57</v>
      </c>
      <c r="F94" t="s">
        <v>53</v>
      </c>
      <c r="G94" t="s">
        <v>64</v>
      </c>
      <c r="H94" t="s">
        <v>65</v>
      </c>
      <c r="I94" t="s">
        <v>38</v>
      </c>
      <c r="J94" t="s">
        <v>38</v>
      </c>
      <c r="K94" t="s">
        <v>41</v>
      </c>
      <c r="L94">
        <v>65</v>
      </c>
      <c r="M94">
        <v>64</v>
      </c>
      <c r="N94">
        <v>1</v>
      </c>
      <c r="O94">
        <v>404</v>
      </c>
      <c r="P94">
        <v>2</v>
      </c>
      <c r="Q94">
        <v>9</v>
      </c>
      <c r="R94">
        <v>7</v>
      </c>
      <c r="S94">
        <v>784201</v>
      </c>
      <c r="T94">
        <v>859346</v>
      </c>
      <c r="U94" t="s">
        <v>75</v>
      </c>
      <c r="V94">
        <v>0</v>
      </c>
      <c r="W94">
        <v>1.4999999999999999E-2</v>
      </c>
      <c r="X94">
        <v>-75145</v>
      </c>
      <c r="Y94">
        <v>-8.6999999999999994E-2</v>
      </c>
    </row>
    <row r="95" spans="1:25" x14ac:dyDescent="0.25">
      <c r="A95" t="s">
        <v>168</v>
      </c>
      <c r="B95">
        <v>46098</v>
      </c>
      <c r="C95">
        <v>46106</v>
      </c>
      <c r="D95" t="s">
        <v>44</v>
      </c>
      <c r="E95" t="s">
        <v>52</v>
      </c>
      <c r="F95" t="s">
        <v>46</v>
      </c>
      <c r="G95" t="s">
        <v>30</v>
      </c>
      <c r="H95" t="s">
        <v>31</v>
      </c>
      <c r="I95" t="s">
        <v>80</v>
      </c>
      <c r="J95" t="s">
        <v>80</v>
      </c>
      <c r="K95" t="s">
        <v>41</v>
      </c>
      <c r="L95">
        <v>121</v>
      </c>
      <c r="M95">
        <v>118</v>
      </c>
      <c r="N95">
        <v>3</v>
      </c>
      <c r="O95">
        <v>267</v>
      </c>
      <c r="P95">
        <v>7</v>
      </c>
      <c r="Q95">
        <v>8</v>
      </c>
      <c r="R95">
        <v>1</v>
      </c>
      <c r="S95">
        <v>1113249</v>
      </c>
      <c r="T95">
        <v>1075547</v>
      </c>
      <c r="U95" t="s">
        <v>33</v>
      </c>
      <c r="V95">
        <v>0</v>
      </c>
      <c r="W95">
        <v>2.5000000000000001E-2</v>
      </c>
      <c r="X95">
        <v>37702</v>
      </c>
      <c r="Y95">
        <v>3.5000000000000003E-2</v>
      </c>
    </row>
    <row r="96" spans="1:25" x14ac:dyDescent="0.25">
      <c r="A96" t="s">
        <v>169</v>
      </c>
      <c r="B96">
        <v>46146</v>
      </c>
      <c r="C96">
        <v>46149</v>
      </c>
      <c r="D96" t="s">
        <v>57</v>
      </c>
      <c r="E96" t="s">
        <v>85</v>
      </c>
      <c r="F96" t="s">
        <v>37</v>
      </c>
      <c r="G96" t="s">
        <v>49</v>
      </c>
      <c r="H96" t="s">
        <v>50</v>
      </c>
      <c r="I96" t="s">
        <v>73</v>
      </c>
      <c r="J96" t="s">
        <v>74</v>
      </c>
      <c r="K96" t="s">
        <v>32</v>
      </c>
      <c r="L96">
        <v>51</v>
      </c>
      <c r="M96">
        <v>49</v>
      </c>
      <c r="N96">
        <v>2</v>
      </c>
      <c r="O96">
        <v>751</v>
      </c>
      <c r="P96">
        <v>3</v>
      </c>
      <c r="Q96">
        <v>3</v>
      </c>
      <c r="R96">
        <v>0</v>
      </c>
      <c r="S96">
        <v>487694</v>
      </c>
      <c r="T96">
        <v>539170</v>
      </c>
      <c r="U96" t="s">
        <v>42</v>
      </c>
      <c r="V96">
        <v>1</v>
      </c>
      <c r="W96">
        <v>3.9E-2</v>
      </c>
      <c r="X96">
        <v>-51476</v>
      </c>
      <c r="Y96">
        <v>-9.5000000000000001E-2</v>
      </c>
    </row>
    <row r="97" spans="1:25" x14ac:dyDescent="0.25">
      <c r="A97" t="s">
        <v>170</v>
      </c>
      <c r="B97">
        <v>46146</v>
      </c>
      <c r="C97">
        <v>46151</v>
      </c>
      <c r="D97" t="s">
        <v>62</v>
      </c>
      <c r="E97" t="s">
        <v>52</v>
      </c>
      <c r="F97" t="s">
        <v>37</v>
      </c>
      <c r="G97" t="s">
        <v>91</v>
      </c>
      <c r="H97" t="s">
        <v>92</v>
      </c>
      <c r="I97" t="s">
        <v>68</v>
      </c>
      <c r="J97" t="s">
        <v>69</v>
      </c>
      <c r="K97" t="s">
        <v>41</v>
      </c>
      <c r="L97">
        <v>72</v>
      </c>
      <c r="M97">
        <v>71</v>
      </c>
      <c r="N97">
        <v>1</v>
      </c>
      <c r="O97">
        <v>381</v>
      </c>
      <c r="P97">
        <v>5</v>
      </c>
      <c r="Q97">
        <v>5</v>
      </c>
      <c r="R97">
        <v>0</v>
      </c>
      <c r="S97">
        <v>513654</v>
      </c>
      <c r="T97">
        <v>512746</v>
      </c>
      <c r="U97" t="s">
        <v>42</v>
      </c>
      <c r="V97">
        <v>1</v>
      </c>
      <c r="W97">
        <v>1.4E-2</v>
      </c>
      <c r="X97">
        <v>908</v>
      </c>
      <c r="Y97">
        <v>2E-3</v>
      </c>
    </row>
    <row r="98" spans="1:25" x14ac:dyDescent="0.25">
      <c r="A98" t="s">
        <v>171</v>
      </c>
      <c r="B98">
        <v>46102</v>
      </c>
      <c r="C98">
        <v>46103</v>
      </c>
      <c r="D98" t="s">
        <v>62</v>
      </c>
      <c r="E98" t="s">
        <v>45</v>
      </c>
      <c r="F98" t="s">
        <v>63</v>
      </c>
      <c r="G98" t="s">
        <v>64</v>
      </c>
      <c r="H98" t="s">
        <v>65</v>
      </c>
      <c r="I98" t="s">
        <v>58</v>
      </c>
      <c r="J98" t="s">
        <v>59</v>
      </c>
      <c r="K98" t="s">
        <v>41</v>
      </c>
      <c r="L98">
        <v>29</v>
      </c>
      <c r="M98">
        <v>29</v>
      </c>
      <c r="N98">
        <v>0</v>
      </c>
      <c r="O98">
        <v>285</v>
      </c>
      <c r="P98">
        <v>1</v>
      </c>
      <c r="Q98">
        <v>1</v>
      </c>
      <c r="R98">
        <v>0</v>
      </c>
      <c r="S98">
        <v>577910</v>
      </c>
      <c r="T98">
        <v>564200</v>
      </c>
      <c r="U98" t="s">
        <v>42</v>
      </c>
      <c r="V98">
        <v>1</v>
      </c>
      <c r="W98">
        <v>0</v>
      </c>
      <c r="X98">
        <v>13710</v>
      </c>
      <c r="Y98">
        <v>2.4E-2</v>
      </c>
    </row>
    <row r="99" spans="1:25" x14ac:dyDescent="0.25">
      <c r="A99" t="s">
        <v>172</v>
      </c>
      <c r="B99">
        <v>46231</v>
      </c>
      <c r="C99">
        <v>46238</v>
      </c>
      <c r="D99" t="s">
        <v>57</v>
      </c>
      <c r="E99" t="s">
        <v>27</v>
      </c>
      <c r="F99" t="s">
        <v>63</v>
      </c>
      <c r="G99" t="s">
        <v>39</v>
      </c>
      <c r="H99" t="s">
        <v>40</v>
      </c>
      <c r="I99" t="s">
        <v>88</v>
      </c>
      <c r="J99" t="s">
        <v>89</v>
      </c>
      <c r="K99" t="s">
        <v>32</v>
      </c>
      <c r="L99">
        <v>66</v>
      </c>
      <c r="M99">
        <v>65</v>
      </c>
      <c r="N99">
        <v>1</v>
      </c>
      <c r="O99">
        <v>373</v>
      </c>
      <c r="P99">
        <v>6</v>
      </c>
      <c r="Q99">
        <v>7</v>
      </c>
      <c r="R99">
        <v>1</v>
      </c>
      <c r="S99">
        <v>564647</v>
      </c>
      <c r="T99">
        <v>583993</v>
      </c>
      <c r="U99" t="s">
        <v>33</v>
      </c>
      <c r="V99">
        <v>0</v>
      </c>
      <c r="W99">
        <v>1.4999999999999999E-2</v>
      </c>
      <c r="X99">
        <v>-19346</v>
      </c>
      <c r="Y99">
        <v>-3.3000000000000002E-2</v>
      </c>
    </row>
    <row r="100" spans="1:25" x14ac:dyDescent="0.25">
      <c r="A100" t="s">
        <v>173</v>
      </c>
      <c r="B100">
        <v>46242</v>
      </c>
      <c r="C100">
        <v>46249</v>
      </c>
      <c r="D100" t="s">
        <v>26</v>
      </c>
      <c r="E100" t="s">
        <v>45</v>
      </c>
      <c r="F100" t="s">
        <v>63</v>
      </c>
      <c r="G100" t="s">
        <v>72</v>
      </c>
      <c r="H100" t="s">
        <v>72</v>
      </c>
      <c r="I100" t="s">
        <v>91</v>
      </c>
      <c r="J100" t="s">
        <v>92</v>
      </c>
      <c r="K100" t="s">
        <v>41</v>
      </c>
      <c r="L100">
        <v>101</v>
      </c>
      <c r="M100">
        <v>98</v>
      </c>
      <c r="N100">
        <v>3</v>
      </c>
      <c r="O100">
        <v>595</v>
      </c>
      <c r="P100">
        <v>5</v>
      </c>
      <c r="Q100">
        <v>7</v>
      </c>
      <c r="R100">
        <v>2</v>
      </c>
      <c r="S100">
        <v>875314</v>
      </c>
      <c r="T100">
        <v>951818</v>
      </c>
      <c r="U100" t="s">
        <v>33</v>
      </c>
      <c r="V100">
        <v>0</v>
      </c>
      <c r="W100">
        <v>0.03</v>
      </c>
      <c r="X100">
        <v>-76504</v>
      </c>
      <c r="Y100">
        <v>-0.08</v>
      </c>
    </row>
    <row r="101" spans="1:25" x14ac:dyDescent="0.25">
      <c r="A101" t="s">
        <v>174</v>
      </c>
      <c r="B101">
        <v>46084</v>
      </c>
      <c r="C101">
        <v>46092</v>
      </c>
      <c r="D101" t="s">
        <v>77</v>
      </c>
      <c r="E101" t="s">
        <v>67</v>
      </c>
      <c r="F101" t="s">
        <v>63</v>
      </c>
      <c r="G101" t="s">
        <v>80</v>
      </c>
      <c r="H101" t="s">
        <v>80</v>
      </c>
      <c r="I101" t="s">
        <v>68</v>
      </c>
      <c r="J101" t="s">
        <v>69</v>
      </c>
      <c r="K101" t="s">
        <v>41</v>
      </c>
      <c r="L101">
        <v>142</v>
      </c>
      <c r="M101">
        <v>137</v>
      </c>
      <c r="N101">
        <v>5</v>
      </c>
      <c r="O101">
        <v>696</v>
      </c>
      <c r="P101">
        <v>4</v>
      </c>
      <c r="Q101">
        <v>8</v>
      </c>
      <c r="R101">
        <v>4</v>
      </c>
      <c r="S101">
        <v>1970708</v>
      </c>
      <c r="T101">
        <v>2106098</v>
      </c>
      <c r="U101" t="s">
        <v>75</v>
      </c>
      <c r="V101">
        <v>0</v>
      </c>
      <c r="W101">
        <v>3.5000000000000003E-2</v>
      </c>
      <c r="X101">
        <v>-135390</v>
      </c>
      <c r="Y101">
        <v>-6.4000000000000001E-2</v>
      </c>
    </row>
    <row r="102" spans="1:25" x14ac:dyDescent="0.25">
      <c r="A102" t="s">
        <v>175</v>
      </c>
      <c r="B102">
        <v>46065</v>
      </c>
      <c r="C102">
        <v>46067</v>
      </c>
      <c r="D102" t="s">
        <v>26</v>
      </c>
      <c r="E102" t="s">
        <v>36</v>
      </c>
      <c r="F102" t="s">
        <v>28</v>
      </c>
      <c r="G102" t="s">
        <v>68</v>
      </c>
      <c r="H102" t="s">
        <v>69</v>
      </c>
      <c r="I102" t="s">
        <v>39</v>
      </c>
      <c r="J102" t="s">
        <v>40</v>
      </c>
      <c r="K102" t="s">
        <v>32</v>
      </c>
      <c r="L102">
        <v>159</v>
      </c>
      <c r="M102">
        <v>155</v>
      </c>
      <c r="N102">
        <v>4</v>
      </c>
      <c r="O102">
        <v>137</v>
      </c>
      <c r="P102">
        <v>2</v>
      </c>
      <c r="Q102">
        <v>2</v>
      </c>
      <c r="R102">
        <v>0</v>
      </c>
      <c r="S102">
        <v>1113409</v>
      </c>
      <c r="T102">
        <v>1082189</v>
      </c>
      <c r="U102" t="s">
        <v>42</v>
      </c>
      <c r="V102">
        <v>1</v>
      </c>
      <c r="W102">
        <v>2.5000000000000001E-2</v>
      </c>
      <c r="X102">
        <v>31220</v>
      </c>
      <c r="Y102">
        <v>2.9000000000000001E-2</v>
      </c>
    </row>
    <row r="103" spans="1:25" x14ac:dyDescent="0.25">
      <c r="A103" t="s">
        <v>176</v>
      </c>
      <c r="B103">
        <v>46089</v>
      </c>
      <c r="C103">
        <v>46092</v>
      </c>
      <c r="D103" t="s">
        <v>35</v>
      </c>
      <c r="E103" t="s">
        <v>45</v>
      </c>
      <c r="F103" t="s">
        <v>46</v>
      </c>
      <c r="G103" t="s">
        <v>64</v>
      </c>
      <c r="H103" t="s">
        <v>65</v>
      </c>
      <c r="I103" t="s">
        <v>58</v>
      </c>
      <c r="J103" t="s">
        <v>59</v>
      </c>
      <c r="K103" t="s">
        <v>60</v>
      </c>
      <c r="L103">
        <v>41</v>
      </c>
      <c r="M103">
        <v>39</v>
      </c>
      <c r="N103">
        <v>2</v>
      </c>
      <c r="O103">
        <v>302</v>
      </c>
      <c r="P103">
        <v>3</v>
      </c>
      <c r="Q103">
        <v>3</v>
      </c>
      <c r="R103">
        <v>0</v>
      </c>
      <c r="S103">
        <v>625221</v>
      </c>
      <c r="T103">
        <v>671594</v>
      </c>
      <c r="U103" t="s">
        <v>42</v>
      </c>
      <c r="V103">
        <v>1</v>
      </c>
      <c r="W103">
        <v>4.9000000000000002E-2</v>
      </c>
      <c r="X103">
        <v>-46373</v>
      </c>
      <c r="Y103">
        <v>-6.9000000000000006E-2</v>
      </c>
    </row>
    <row r="104" spans="1:25" x14ac:dyDescent="0.25">
      <c r="A104" t="s">
        <v>177</v>
      </c>
      <c r="B104">
        <v>46219</v>
      </c>
      <c r="C104">
        <v>46220</v>
      </c>
      <c r="D104" t="s">
        <v>62</v>
      </c>
      <c r="E104" t="s">
        <v>36</v>
      </c>
      <c r="F104" t="s">
        <v>46</v>
      </c>
      <c r="G104" t="s">
        <v>49</v>
      </c>
      <c r="H104" t="s">
        <v>50</v>
      </c>
      <c r="I104" t="s">
        <v>91</v>
      </c>
      <c r="J104" t="s">
        <v>92</v>
      </c>
      <c r="K104" t="s">
        <v>32</v>
      </c>
      <c r="L104">
        <v>54</v>
      </c>
      <c r="M104">
        <v>53</v>
      </c>
      <c r="N104">
        <v>1</v>
      </c>
      <c r="O104">
        <v>294</v>
      </c>
      <c r="P104">
        <v>1</v>
      </c>
      <c r="Q104">
        <v>1</v>
      </c>
      <c r="R104">
        <v>0</v>
      </c>
      <c r="S104">
        <v>597402</v>
      </c>
      <c r="T104">
        <v>665371</v>
      </c>
      <c r="U104" t="s">
        <v>42</v>
      </c>
      <c r="V104">
        <v>1</v>
      </c>
      <c r="W104">
        <v>1.9E-2</v>
      </c>
      <c r="X104">
        <v>-67969</v>
      </c>
      <c r="Y104">
        <v>-0.10199999999999999</v>
      </c>
    </row>
    <row r="105" spans="1:25" x14ac:dyDescent="0.25">
      <c r="A105" t="s">
        <v>178</v>
      </c>
      <c r="B105">
        <v>46105</v>
      </c>
      <c r="C105">
        <v>46110</v>
      </c>
      <c r="D105" t="s">
        <v>62</v>
      </c>
      <c r="E105" t="s">
        <v>52</v>
      </c>
      <c r="F105" t="s">
        <v>63</v>
      </c>
      <c r="G105" t="s">
        <v>91</v>
      </c>
      <c r="H105" t="s">
        <v>92</v>
      </c>
      <c r="I105" t="s">
        <v>47</v>
      </c>
      <c r="J105" t="s">
        <v>48</v>
      </c>
      <c r="K105" t="s">
        <v>41</v>
      </c>
      <c r="L105">
        <v>30</v>
      </c>
      <c r="M105">
        <v>29</v>
      </c>
      <c r="N105">
        <v>1</v>
      </c>
      <c r="O105">
        <v>506</v>
      </c>
      <c r="P105">
        <v>5</v>
      </c>
      <c r="Q105">
        <v>5</v>
      </c>
      <c r="R105">
        <v>0</v>
      </c>
      <c r="S105">
        <v>614100</v>
      </c>
      <c r="T105">
        <v>687438</v>
      </c>
      <c r="U105" t="s">
        <v>42</v>
      </c>
      <c r="V105">
        <v>1</v>
      </c>
      <c r="W105">
        <v>3.3000000000000002E-2</v>
      </c>
      <c r="X105">
        <v>-73338</v>
      </c>
      <c r="Y105">
        <v>-0.107</v>
      </c>
    </row>
    <row r="106" spans="1:25" x14ac:dyDescent="0.25">
      <c r="A106" t="s">
        <v>179</v>
      </c>
      <c r="B106">
        <v>46142</v>
      </c>
      <c r="C106">
        <v>46150</v>
      </c>
      <c r="D106" t="s">
        <v>62</v>
      </c>
      <c r="E106" t="s">
        <v>36</v>
      </c>
      <c r="F106" t="s">
        <v>53</v>
      </c>
      <c r="G106" t="s">
        <v>68</v>
      </c>
      <c r="H106" t="s">
        <v>69</v>
      </c>
      <c r="I106" t="s">
        <v>80</v>
      </c>
      <c r="J106" t="s">
        <v>80</v>
      </c>
      <c r="K106" t="s">
        <v>60</v>
      </c>
      <c r="L106">
        <v>88</v>
      </c>
      <c r="M106">
        <v>87</v>
      </c>
      <c r="N106">
        <v>1</v>
      </c>
      <c r="O106">
        <v>46</v>
      </c>
      <c r="P106">
        <v>5</v>
      </c>
      <c r="Q106">
        <v>8</v>
      </c>
      <c r="R106">
        <v>3</v>
      </c>
      <c r="S106">
        <v>909728</v>
      </c>
      <c r="T106">
        <v>1009955</v>
      </c>
      <c r="U106" t="s">
        <v>33</v>
      </c>
      <c r="V106">
        <v>0</v>
      </c>
      <c r="W106">
        <v>1.0999999999999999E-2</v>
      </c>
      <c r="X106">
        <v>-100227</v>
      </c>
      <c r="Y106">
        <v>-9.9000000000000005E-2</v>
      </c>
    </row>
    <row r="107" spans="1:25" x14ac:dyDescent="0.25">
      <c r="A107" t="s">
        <v>180</v>
      </c>
      <c r="B107">
        <v>46211</v>
      </c>
      <c r="C107">
        <v>46214</v>
      </c>
      <c r="D107" t="s">
        <v>77</v>
      </c>
      <c r="E107" t="s">
        <v>67</v>
      </c>
      <c r="F107" t="s">
        <v>53</v>
      </c>
      <c r="G107" t="s">
        <v>91</v>
      </c>
      <c r="H107" t="s">
        <v>92</v>
      </c>
      <c r="I107" t="s">
        <v>73</v>
      </c>
      <c r="J107" t="s">
        <v>74</v>
      </c>
      <c r="K107" t="s">
        <v>32</v>
      </c>
      <c r="L107">
        <v>62</v>
      </c>
      <c r="M107">
        <v>62</v>
      </c>
      <c r="N107">
        <v>0</v>
      </c>
      <c r="O107">
        <v>551</v>
      </c>
      <c r="P107">
        <v>3</v>
      </c>
      <c r="Q107">
        <v>3</v>
      </c>
      <c r="R107">
        <v>0</v>
      </c>
      <c r="S107">
        <v>573672</v>
      </c>
      <c r="T107">
        <v>531350</v>
      </c>
      <c r="U107" t="s">
        <v>42</v>
      </c>
      <c r="V107">
        <v>1</v>
      </c>
      <c r="W107">
        <v>0</v>
      </c>
      <c r="X107">
        <v>42322</v>
      </c>
      <c r="Y107">
        <v>0.08</v>
      </c>
    </row>
    <row r="108" spans="1:25" x14ac:dyDescent="0.25">
      <c r="A108" t="s">
        <v>181</v>
      </c>
      <c r="B108">
        <v>46086</v>
      </c>
      <c r="C108">
        <v>46092</v>
      </c>
      <c r="D108" t="s">
        <v>62</v>
      </c>
      <c r="E108" t="s">
        <v>85</v>
      </c>
      <c r="F108" t="s">
        <v>53</v>
      </c>
      <c r="G108" t="s">
        <v>80</v>
      </c>
      <c r="H108" t="s">
        <v>80</v>
      </c>
      <c r="I108" t="s">
        <v>38</v>
      </c>
      <c r="J108" t="s">
        <v>38</v>
      </c>
      <c r="K108" t="s">
        <v>41</v>
      </c>
      <c r="L108">
        <v>57</v>
      </c>
      <c r="M108">
        <v>55</v>
      </c>
      <c r="N108">
        <v>2</v>
      </c>
      <c r="O108">
        <v>544</v>
      </c>
      <c r="P108">
        <v>2</v>
      </c>
      <c r="Q108">
        <v>6</v>
      </c>
      <c r="R108">
        <v>4</v>
      </c>
      <c r="S108">
        <v>852818</v>
      </c>
      <c r="T108">
        <v>928681</v>
      </c>
      <c r="U108" t="s">
        <v>75</v>
      </c>
      <c r="V108">
        <v>0</v>
      </c>
      <c r="W108">
        <v>3.5000000000000003E-2</v>
      </c>
      <c r="X108">
        <v>-75863</v>
      </c>
      <c r="Y108">
        <v>-8.2000000000000003E-2</v>
      </c>
    </row>
    <row r="109" spans="1:25" x14ac:dyDescent="0.25">
      <c r="A109" t="s">
        <v>182</v>
      </c>
      <c r="B109">
        <v>46174</v>
      </c>
      <c r="C109">
        <v>46180</v>
      </c>
      <c r="D109" t="s">
        <v>77</v>
      </c>
      <c r="E109" t="s">
        <v>57</v>
      </c>
      <c r="F109" t="s">
        <v>63</v>
      </c>
      <c r="G109" t="s">
        <v>49</v>
      </c>
      <c r="H109" t="s">
        <v>50</v>
      </c>
      <c r="I109" t="s">
        <v>73</v>
      </c>
      <c r="J109" t="s">
        <v>74</v>
      </c>
      <c r="K109" t="s">
        <v>41</v>
      </c>
      <c r="L109">
        <v>21</v>
      </c>
      <c r="M109">
        <v>20</v>
      </c>
      <c r="N109">
        <v>1</v>
      </c>
      <c r="O109">
        <v>260</v>
      </c>
      <c r="P109">
        <v>5</v>
      </c>
      <c r="Q109">
        <v>6</v>
      </c>
      <c r="R109">
        <v>1</v>
      </c>
      <c r="S109">
        <v>231895</v>
      </c>
      <c r="T109">
        <v>239242</v>
      </c>
      <c r="U109" t="s">
        <v>33</v>
      </c>
      <c r="V109">
        <v>0</v>
      </c>
      <c r="W109">
        <v>4.8000000000000001E-2</v>
      </c>
      <c r="X109">
        <v>-7347</v>
      </c>
      <c r="Y109">
        <v>-3.1E-2</v>
      </c>
    </row>
    <row r="110" spans="1:25" x14ac:dyDescent="0.25">
      <c r="A110" t="s">
        <v>183</v>
      </c>
      <c r="B110">
        <v>46114</v>
      </c>
      <c r="C110">
        <v>46127</v>
      </c>
      <c r="D110" t="s">
        <v>35</v>
      </c>
      <c r="E110" t="s">
        <v>85</v>
      </c>
      <c r="F110" t="s">
        <v>37</v>
      </c>
      <c r="G110" t="s">
        <v>88</v>
      </c>
      <c r="H110" t="s">
        <v>89</v>
      </c>
      <c r="I110" t="s">
        <v>58</v>
      </c>
      <c r="J110" t="s">
        <v>59</v>
      </c>
      <c r="K110" t="s">
        <v>60</v>
      </c>
      <c r="L110">
        <v>76</v>
      </c>
      <c r="M110">
        <v>73</v>
      </c>
      <c r="N110">
        <v>3</v>
      </c>
      <c r="O110">
        <v>813</v>
      </c>
      <c r="P110">
        <v>3</v>
      </c>
      <c r="Q110">
        <v>13</v>
      </c>
      <c r="R110">
        <v>10</v>
      </c>
      <c r="S110">
        <v>1366637</v>
      </c>
      <c r="T110">
        <v>1365419</v>
      </c>
      <c r="U110" t="s">
        <v>75</v>
      </c>
      <c r="V110">
        <v>0</v>
      </c>
      <c r="W110">
        <v>3.9E-2</v>
      </c>
      <c r="X110">
        <v>1218</v>
      </c>
      <c r="Y110">
        <v>1E-3</v>
      </c>
    </row>
    <row r="111" spans="1:25" x14ac:dyDescent="0.25">
      <c r="A111" t="s">
        <v>184</v>
      </c>
      <c r="B111">
        <v>46114</v>
      </c>
      <c r="C111">
        <v>46116</v>
      </c>
      <c r="D111" t="s">
        <v>44</v>
      </c>
      <c r="E111" t="s">
        <v>85</v>
      </c>
      <c r="F111" t="s">
        <v>28</v>
      </c>
      <c r="G111" t="s">
        <v>91</v>
      </c>
      <c r="H111" t="s">
        <v>92</v>
      </c>
      <c r="I111" t="s">
        <v>73</v>
      </c>
      <c r="J111" t="s">
        <v>74</v>
      </c>
      <c r="K111" t="s">
        <v>32</v>
      </c>
      <c r="L111">
        <v>50</v>
      </c>
      <c r="M111">
        <v>49</v>
      </c>
      <c r="N111">
        <v>1</v>
      </c>
      <c r="O111">
        <v>696</v>
      </c>
      <c r="P111">
        <v>2</v>
      </c>
      <c r="Q111">
        <v>2</v>
      </c>
      <c r="R111">
        <v>0</v>
      </c>
      <c r="S111">
        <v>983614</v>
      </c>
      <c r="T111">
        <v>1026530</v>
      </c>
      <c r="U111" t="s">
        <v>42</v>
      </c>
      <c r="V111">
        <v>1</v>
      </c>
      <c r="W111">
        <v>0.02</v>
      </c>
      <c r="X111">
        <v>-42916</v>
      </c>
      <c r="Y111">
        <v>-4.2000000000000003E-2</v>
      </c>
    </row>
    <row r="112" spans="1:25" x14ac:dyDescent="0.25">
      <c r="A112" t="s">
        <v>185</v>
      </c>
      <c r="B112">
        <v>46028</v>
      </c>
      <c r="C112">
        <v>46036</v>
      </c>
      <c r="D112" t="s">
        <v>77</v>
      </c>
      <c r="E112" t="s">
        <v>52</v>
      </c>
      <c r="F112" t="s">
        <v>37</v>
      </c>
      <c r="G112" t="s">
        <v>39</v>
      </c>
      <c r="H112" t="s">
        <v>40</v>
      </c>
      <c r="I112" t="s">
        <v>72</v>
      </c>
      <c r="J112" t="s">
        <v>72</v>
      </c>
      <c r="K112" t="s">
        <v>41</v>
      </c>
      <c r="L112">
        <v>81</v>
      </c>
      <c r="M112">
        <v>78</v>
      </c>
      <c r="N112">
        <v>3</v>
      </c>
      <c r="O112">
        <v>140</v>
      </c>
      <c r="P112">
        <v>4</v>
      </c>
      <c r="Q112">
        <v>8</v>
      </c>
      <c r="R112">
        <v>4</v>
      </c>
      <c r="S112">
        <v>1076673</v>
      </c>
      <c r="T112">
        <v>1059897</v>
      </c>
      <c r="U112" t="s">
        <v>75</v>
      </c>
      <c r="V112">
        <v>0</v>
      </c>
      <c r="W112">
        <v>3.6999999999999998E-2</v>
      </c>
      <c r="X112">
        <v>16776</v>
      </c>
      <c r="Y112">
        <v>1.6E-2</v>
      </c>
    </row>
    <row r="113" spans="1:25" x14ac:dyDescent="0.25">
      <c r="A113" t="s">
        <v>186</v>
      </c>
      <c r="B113">
        <v>46149</v>
      </c>
      <c r="C113">
        <v>46155</v>
      </c>
      <c r="D113" t="s">
        <v>44</v>
      </c>
      <c r="E113" t="s">
        <v>45</v>
      </c>
      <c r="F113" t="s">
        <v>53</v>
      </c>
      <c r="G113" t="s">
        <v>68</v>
      </c>
      <c r="H113" t="s">
        <v>69</v>
      </c>
      <c r="I113" t="s">
        <v>73</v>
      </c>
      <c r="J113" t="s">
        <v>74</v>
      </c>
      <c r="K113" t="s">
        <v>32</v>
      </c>
      <c r="L113">
        <v>107</v>
      </c>
      <c r="M113">
        <v>104</v>
      </c>
      <c r="N113">
        <v>3</v>
      </c>
      <c r="O113">
        <v>247</v>
      </c>
      <c r="P113">
        <v>1</v>
      </c>
      <c r="Q113">
        <v>6</v>
      </c>
      <c r="R113">
        <v>5</v>
      </c>
      <c r="S113">
        <v>1558947</v>
      </c>
      <c r="T113">
        <v>1655308</v>
      </c>
      <c r="U113" t="s">
        <v>75</v>
      </c>
      <c r="V113">
        <v>0</v>
      </c>
      <c r="W113">
        <v>2.8000000000000001E-2</v>
      </c>
      <c r="X113">
        <v>-96361</v>
      </c>
      <c r="Y113">
        <v>-5.8000000000000003E-2</v>
      </c>
    </row>
    <row r="114" spans="1:25" x14ac:dyDescent="0.25">
      <c r="A114" t="s">
        <v>187</v>
      </c>
      <c r="B114">
        <v>46153</v>
      </c>
      <c r="C114">
        <v>46159</v>
      </c>
      <c r="D114" t="s">
        <v>77</v>
      </c>
      <c r="E114" t="s">
        <v>27</v>
      </c>
      <c r="F114" t="s">
        <v>46</v>
      </c>
      <c r="G114" t="s">
        <v>54</v>
      </c>
      <c r="H114" t="s">
        <v>55</v>
      </c>
      <c r="I114" t="s">
        <v>47</v>
      </c>
      <c r="J114" t="s">
        <v>48</v>
      </c>
      <c r="K114" t="s">
        <v>41</v>
      </c>
      <c r="L114">
        <v>136</v>
      </c>
      <c r="M114">
        <v>130</v>
      </c>
      <c r="N114">
        <v>6</v>
      </c>
      <c r="O114">
        <v>414</v>
      </c>
      <c r="P114">
        <v>2</v>
      </c>
      <c r="Q114">
        <v>6</v>
      </c>
      <c r="R114">
        <v>4</v>
      </c>
      <c r="S114">
        <v>846282</v>
      </c>
      <c r="T114">
        <v>859975</v>
      </c>
      <c r="U114" t="s">
        <v>75</v>
      </c>
      <c r="V114">
        <v>0</v>
      </c>
      <c r="W114">
        <v>4.3999999999999997E-2</v>
      </c>
      <c r="X114">
        <v>-13693</v>
      </c>
      <c r="Y114">
        <v>-1.6E-2</v>
      </c>
    </row>
    <row r="115" spans="1:25" x14ac:dyDescent="0.25">
      <c r="A115" t="s">
        <v>188</v>
      </c>
      <c r="B115">
        <v>46148</v>
      </c>
      <c r="C115">
        <v>46151</v>
      </c>
      <c r="D115" t="s">
        <v>26</v>
      </c>
      <c r="E115" t="s">
        <v>67</v>
      </c>
      <c r="F115" t="s">
        <v>37</v>
      </c>
      <c r="G115" t="s">
        <v>68</v>
      </c>
      <c r="H115" t="s">
        <v>69</v>
      </c>
      <c r="I115" t="s">
        <v>73</v>
      </c>
      <c r="J115" t="s">
        <v>74</v>
      </c>
      <c r="K115" t="s">
        <v>41</v>
      </c>
      <c r="L115">
        <v>140</v>
      </c>
      <c r="M115">
        <v>138</v>
      </c>
      <c r="N115">
        <v>2</v>
      </c>
      <c r="O115">
        <v>757</v>
      </c>
      <c r="P115">
        <v>3</v>
      </c>
      <c r="Q115">
        <v>3</v>
      </c>
      <c r="R115">
        <v>0</v>
      </c>
      <c r="S115">
        <v>1211164</v>
      </c>
      <c r="T115">
        <v>1124847</v>
      </c>
      <c r="U115" t="s">
        <v>42</v>
      </c>
      <c r="V115">
        <v>1</v>
      </c>
      <c r="W115">
        <v>1.4E-2</v>
      </c>
      <c r="X115">
        <v>86317</v>
      </c>
      <c r="Y115">
        <v>7.6999999999999999E-2</v>
      </c>
    </row>
    <row r="116" spans="1:25" x14ac:dyDescent="0.25">
      <c r="A116" t="s">
        <v>189</v>
      </c>
      <c r="B116">
        <v>46122</v>
      </c>
      <c r="C116">
        <v>46127</v>
      </c>
      <c r="D116" t="s">
        <v>44</v>
      </c>
      <c r="E116" t="s">
        <v>27</v>
      </c>
      <c r="F116" t="s">
        <v>53</v>
      </c>
      <c r="G116" t="s">
        <v>91</v>
      </c>
      <c r="H116" t="s">
        <v>92</v>
      </c>
      <c r="I116" t="s">
        <v>88</v>
      </c>
      <c r="J116" t="s">
        <v>89</v>
      </c>
      <c r="K116" t="s">
        <v>32</v>
      </c>
      <c r="L116">
        <v>39</v>
      </c>
      <c r="M116">
        <v>38</v>
      </c>
      <c r="N116">
        <v>1</v>
      </c>
      <c r="O116">
        <v>469</v>
      </c>
      <c r="P116">
        <v>4</v>
      </c>
      <c r="Q116">
        <v>5</v>
      </c>
      <c r="R116">
        <v>1</v>
      </c>
      <c r="S116">
        <v>694007</v>
      </c>
      <c r="T116">
        <v>642741</v>
      </c>
      <c r="U116" t="s">
        <v>33</v>
      </c>
      <c r="V116">
        <v>0</v>
      </c>
      <c r="W116">
        <v>2.5999999999999999E-2</v>
      </c>
      <c r="X116">
        <v>51266</v>
      </c>
      <c r="Y116">
        <v>0.08</v>
      </c>
    </row>
    <row r="117" spans="1:25" x14ac:dyDescent="0.25">
      <c r="A117" t="s">
        <v>190</v>
      </c>
      <c r="B117">
        <v>46246</v>
      </c>
      <c r="C117">
        <v>46259</v>
      </c>
      <c r="D117" t="s">
        <v>62</v>
      </c>
      <c r="E117" t="s">
        <v>67</v>
      </c>
      <c r="F117" t="s">
        <v>53</v>
      </c>
      <c r="G117" t="s">
        <v>88</v>
      </c>
      <c r="H117" t="s">
        <v>89</v>
      </c>
      <c r="I117" t="s">
        <v>30</v>
      </c>
      <c r="J117" t="s">
        <v>31</v>
      </c>
      <c r="K117" t="s">
        <v>41</v>
      </c>
      <c r="L117">
        <v>156</v>
      </c>
      <c r="M117">
        <v>156</v>
      </c>
      <c r="N117">
        <v>0</v>
      </c>
      <c r="O117">
        <v>586</v>
      </c>
      <c r="P117">
        <v>3</v>
      </c>
      <c r="Q117">
        <v>13</v>
      </c>
      <c r="R117">
        <v>10</v>
      </c>
      <c r="S117">
        <v>1311296</v>
      </c>
      <c r="T117">
        <v>1358155</v>
      </c>
      <c r="U117" t="s">
        <v>75</v>
      </c>
      <c r="V117">
        <v>0</v>
      </c>
      <c r="W117">
        <v>0</v>
      </c>
      <c r="X117">
        <v>-46859</v>
      </c>
      <c r="Y117">
        <v>-3.5000000000000003E-2</v>
      </c>
    </row>
    <row r="118" spans="1:25" x14ac:dyDescent="0.25">
      <c r="A118" t="s">
        <v>191</v>
      </c>
      <c r="B118">
        <v>46188</v>
      </c>
      <c r="C118">
        <v>46195</v>
      </c>
      <c r="D118" t="s">
        <v>57</v>
      </c>
      <c r="E118" t="s">
        <v>67</v>
      </c>
      <c r="F118" t="s">
        <v>53</v>
      </c>
      <c r="G118" t="s">
        <v>58</v>
      </c>
      <c r="H118" t="s">
        <v>59</v>
      </c>
      <c r="I118" t="s">
        <v>47</v>
      </c>
      <c r="J118" t="s">
        <v>48</v>
      </c>
      <c r="K118" t="s">
        <v>32</v>
      </c>
      <c r="L118">
        <v>119</v>
      </c>
      <c r="M118">
        <v>114</v>
      </c>
      <c r="N118">
        <v>5</v>
      </c>
      <c r="O118">
        <v>210</v>
      </c>
      <c r="P118">
        <v>5</v>
      </c>
      <c r="Q118">
        <v>7</v>
      </c>
      <c r="R118">
        <v>2</v>
      </c>
      <c r="S118">
        <v>1718899</v>
      </c>
      <c r="T118">
        <v>1653808</v>
      </c>
      <c r="U118" t="s">
        <v>33</v>
      </c>
      <c r="V118">
        <v>0</v>
      </c>
      <c r="W118">
        <v>4.2000000000000003E-2</v>
      </c>
      <c r="X118">
        <v>65091</v>
      </c>
      <c r="Y118">
        <v>3.9E-2</v>
      </c>
    </row>
    <row r="119" spans="1:25" x14ac:dyDescent="0.25">
      <c r="A119" t="s">
        <v>192</v>
      </c>
      <c r="B119">
        <v>46068</v>
      </c>
      <c r="C119">
        <v>46077</v>
      </c>
      <c r="D119" t="s">
        <v>26</v>
      </c>
      <c r="E119" t="s">
        <v>85</v>
      </c>
      <c r="F119" t="s">
        <v>46</v>
      </c>
      <c r="G119" t="s">
        <v>54</v>
      </c>
      <c r="H119" t="s">
        <v>55</v>
      </c>
      <c r="I119" t="s">
        <v>29</v>
      </c>
      <c r="J119" t="s">
        <v>29</v>
      </c>
      <c r="K119" t="s">
        <v>41</v>
      </c>
      <c r="L119">
        <v>123</v>
      </c>
      <c r="M119">
        <v>118</v>
      </c>
      <c r="N119">
        <v>5</v>
      </c>
      <c r="O119">
        <v>317</v>
      </c>
      <c r="P119">
        <v>2</v>
      </c>
      <c r="Q119">
        <v>9</v>
      </c>
      <c r="R119">
        <v>7</v>
      </c>
      <c r="S119">
        <v>1273243</v>
      </c>
      <c r="T119">
        <v>1196184</v>
      </c>
      <c r="U119" t="s">
        <v>75</v>
      </c>
      <c r="V119">
        <v>0</v>
      </c>
      <c r="W119">
        <v>4.1000000000000002E-2</v>
      </c>
      <c r="X119">
        <v>77059</v>
      </c>
      <c r="Y119">
        <v>6.4000000000000001E-2</v>
      </c>
    </row>
    <row r="120" spans="1:25" x14ac:dyDescent="0.25">
      <c r="A120" t="s">
        <v>193</v>
      </c>
      <c r="B120">
        <v>46257</v>
      </c>
      <c r="C120">
        <v>46259</v>
      </c>
      <c r="D120" t="s">
        <v>57</v>
      </c>
      <c r="E120" t="s">
        <v>67</v>
      </c>
      <c r="F120" t="s">
        <v>37</v>
      </c>
      <c r="G120" t="s">
        <v>30</v>
      </c>
      <c r="H120" t="s">
        <v>31</v>
      </c>
      <c r="I120" t="s">
        <v>58</v>
      </c>
      <c r="J120" t="s">
        <v>59</v>
      </c>
      <c r="K120" t="s">
        <v>60</v>
      </c>
      <c r="L120">
        <v>32</v>
      </c>
      <c r="M120">
        <v>32</v>
      </c>
      <c r="N120">
        <v>0</v>
      </c>
      <c r="O120">
        <v>90</v>
      </c>
      <c r="P120">
        <v>2</v>
      </c>
      <c r="Q120">
        <v>2</v>
      </c>
      <c r="R120">
        <v>0</v>
      </c>
      <c r="S120">
        <v>483108</v>
      </c>
      <c r="T120">
        <v>475879</v>
      </c>
      <c r="U120" t="s">
        <v>42</v>
      </c>
      <c r="V120">
        <v>1</v>
      </c>
      <c r="W120">
        <v>0</v>
      </c>
      <c r="X120">
        <v>7229</v>
      </c>
      <c r="Y120">
        <v>1.4999999999999999E-2</v>
      </c>
    </row>
    <row r="121" spans="1:25" x14ac:dyDescent="0.25">
      <c r="A121" t="s">
        <v>194</v>
      </c>
      <c r="B121">
        <v>46106</v>
      </c>
      <c r="C121">
        <v>46110</v>
      </c>
      <c r="D121" t="s">
        <v>35</v>
      </c>
      <c r="E121" t="s">
        <v>52</v>
      </c>
      <c r="F121" t="s">
        <v>53</v>
      </c>
      <c r="G121" t="s">
        <v>91</v>
      </c>
      <c r="H121" t="s">
        <v>92</v>
      </c>
      <c r="I121" t="s">
        <v>54</v>
      </c>
      <c r="J121" t="s">
        <v>55</v>
      </c>
      <c r="K121" t="s">
        <v>41</v>
      </c>
      <c r="L121">
        <v>98</v>
      </c>
      <c r="M121">
        <v>96</v>
      </c>
      <c r="N121">
        <v>2</v>
      </c>
      <c r="O121">
        <v>385</v>
      </c>
      <c r="P121">
        <v>4</v>
      </c>
      <c r="Q121">
        <v>4</v>
      </c>
      <c r="R121">
        <v>0</v>
      </c>
      <c r="S121">
        <v>1477826</v>
      </c>
      <c r="T121">
        <v>1433111</v>
      </c>
      <c r="U121" t="s">
        <v>42</v>
      </c>
      <c r="V121">
        <v>1</v>
      </c>
      <c r="W121">
        <v>0.02</v>
      </c>
      <c r="X121">
        <v>44715</v>
      </c>
      <c r="Y121">
        <v>3.1E-2</v>
      </c>
    </row>
    <row r="122" spans="1:25" x14ac:dyDescent="0.25">
      <c r="A122" t="s">
        <v>195</v>
      </c>
      <c r="B122">
        <v>46133</v>
      </c>
      <c r="C122">
        <v>46140</v>
      </c>
      <c r="D122" t="s">
        <v>77</v>
      </c>
      <c r="E122" t="s">
        <v>67</v>
      </c>
      <c r="F122" t="s">
        <v>28</v>
      </c>
      <c r="G122" t="s">
        <v>39</v>
      </c>
      <c r="H122" t="s">
        <v>40</v>
      </c>
      <c r="I122" t="s">
        <v>64</v>
      </c>
      <c r="J122" t="s">
        <v>65</v>
      </c>
      <c r="K122" t="s">
        <v>41</v>
      </c>
      <c r="L122">
        <v>53</v>
      </c>
      <c r="M122">
        <v>52</v>
      </c>
      <c r="N122">
        <v>1</v>
      </c>
      <c r="O122">
        <v>521</v>
      </c>
      <c r="P122">
        <v>5</v>
      </c>
      <c r="Q122">
        <v>7</v>
      </c>
      <c r="R122">
        <v>2</v>
      </c>
      <c r="S122">
        <v>860944</v>
      </c>
      <c r="T122">
        <v>868928</v>
      </c>
      <c r="U122" t="s">
        <v>33</v>
      </c>
      <c r="V122">
        <v>0</v>
      </c>
      <c r="W122">
        <v>1.9E-2</v>
      </c>
      <c r="X122">
        <v>-7984</v>
      </c>
      <c r="Y122">
        <v>-8.9999999999999993E-3</v>
      </c>
    </row>
    <row r="123" spans="1:25" x14ac:dyDescent="0.25">
      <c r="A123" t="s">
        <v>196</v>
      </c>
      <c r="B123">
        <v>46063</v>
      </c>
      <c r="C123">
        <v>46069</v>
      </c>
      <c r="D123" t="s">
        <v>57</v>
      </c>
      <c r="E123" t="s">
        <v>103</v>
      </c>
      <c r="F123" t="s">
        <v>53</v>
      </c>
      <c r="G123" t="s">
        <v>64</v>
      </c>
      <c r="H123" t="s">
        <v>65</v>
      </c>
      <c r="I123" t="s">
        <v>47</v>
      </c>
      <c r="J123" t="s">
        <v>48</v>
      </c>
      <c r="K123" t="s">
        <v>41</v>
      </c>
      <c r="L123">
        <v>123</v>
      </c>
      <c r="M123">
        <v>119</v>
      </c>
      <c r="N123">
        <v>4</v>
      </c>
      <c r="O123">
        <v>59</v>
      </c>
      <c r="P123">
        <v>6</v>
      </c>
      <c r="Q123">
        <v>6</v>
      </c>
      <c r="R123">
        <v>0</v>
      </c>
      <c r="S123">
        <v>1104785</v>
      </c>
      <c r="T123">
        <v>1035969</v>
      </c>
      <c r="U123" t="s">
        <v>42</v>
      </c>
      <c r="V123">
        <v>1</v>
      </c>
      <c r="W123">
        <v>3.3000000000000002E-2</v>
      </c>
      <c r="X123">
        <v>68816</v>
      </c>
      <c r="Y123">
        <v>6.6000000000000003E-2</v>
      </c>
    </row>
    <row r="124" spans="1:25" x14ac:dyDescent="0.25">
      <c r="A124" t="s">
        <v>197</v>
      </c>
      <c r="B124">
        <v>46207</v>
      </c>
      <c r="C124">
        <v>46213</v>
      </c>
      <c r="D124" t="s">
        <v>77</v>
      </c>
      <c r="E124" t="s">
        <v>103</v>
      </c>
      <c r="F124" t="s">
        <v>53</v>
      </c>
      <c r="G124" t="s">
        <v>49</v>
      </c>
      <c r="H124" t="s">
        <v>50</v>
      </c>
      <c r="I124" t="s">
        <v>30</v>
      </c>
      <c r="J124" t="s">
        <v>31</v>
      </c>
      <c r="K124" t="s">
        <v>41</v>
      </c>
      <c r="L124">
        <v>130</v>
      </c>
      <c r="M124">
        <v>126</v>
      </c>
      <c r="N124">
        <v>4</v>
      </c>
      <c r="O124">
        <v>241</v>
      </c>
      <c r="P124">
        <v>4</v>
      </c>
      <c r="Q124">
        <v>6</v>
      </c>
      <c r="R124">
        <v>2</v>
      </c>
      <c r="S124">
        <v>1661084</v>
      </c>
      <c r="T124">
        <v>1816534</v>
      </c>
      <c r="U124" t="s">
        <v>33</v>
      </c>
      <c r="V124">
        <v>0</v>
      </c>
      <c r="W124">
        <v>3.1E-2</v>
      </c>
      <c r="X124">
        <v>-155450</v>
      </c>
      <c r="Y124">
        <v>-8.5999999999999993E-2</v>
      </c>
    </row>
    <row r="125" spans="1:25" x14ac:dyDescent="0.25">
      <c r="A125" t="s">
        <v>198</v>
      </c>
      <c r="B125">
        <v>46071</v>
      </c>
      <c r="C125">
        <v>46078</v>
      </c>
      <c r="D125" t="s">
        <v>26</v>
      </c>
      <c r="E125" t="s">
        <v>27</v>
      </c>
      <c r="F125" t="s">
        <v>28</v>
      </c>
      <c r="G125" t="s">
        <v>29</v>
      </c>
      <c r="H125" t="s">
        <v>29</v>
      </c>
      <c r="I125" t="s">
        <v>54</v>
      </c>
      <c r="J125" t="s">
        <v>55</v>
      </c>
      <c r="K125" t="s">
        <v>32</v>
      </c>
      <c r="L125">
        <v>128</v>
      </c>
      <c r="M125">
        <v>128</v>
      </c>
      <c r="N125">
        <v>0</v>
      </c>
      <c r="O125">
        <v>399</v>
      </c>
      <c r="P125">
        <v>2</v>
      </c>
      <c r="Q125">
        <v>7</v>
      </c>
      <c r="R125">
        <v>5</v>
      </c>
      <c r="S125">
        <v>1689910</v>
      </c>
      <c r="T125">
        <v>1586453</v>
      </c>
      <c r="U125" t="s">
        <v>75</v>
      </c>
      <c r="V125">
        <v>0</v>
      </c>
      <c r="W125">
        <v>0</v>
      </c>
      <c r="X125">
        <v>103457</v>
      </c>
      <c r="Y125">
        <v>6.5000000000000002E-2</v>
      </c>
    </row>
    <row r="126" spans="1:25" x14ac:dyDescent="0.25">
      <c r="A126" t="s">
        <v>199</v>
      </c>
      <c r="B126">
        <v>46145</v>
      </c>
      <c r="C126">
        <v>46154</v>
      </c>
      <c r="D126" t="s">
        <v>77</v>
      </c>
      <c r="E126" t="s">
        <v>52</v>
      </c>
      <c r="F126" t="s">
        <v>46</v>
      </c>
      <c r="G126" t="s">
        <v>72</v>
      </c>
      <c r="H126" t="s">
        <v>72</v>
      </c>
      <c r="I126" t="s">
        <v>29</v>
      </c>
      <c r="J126" t="s">
        <v>29</v>
      </c>
      <c r="K126" t="s">
        <v>32</v>
      </c>
      <c r="L126">
        <v>118</v>
      </c>
      <c r="M126">
        <v>117</v>
      </c>
      <c r="N126">
        <v>1</v>
      </c>
      <c r="O126">
        <v>169</v>
      </c>
      <c r="P126">
        <v>7</v>
      </c>
      <c r="Q126">
        <v>9</v>
      </c>
      <c r="R126">
        <v>2</v>
      </c>
      <c r="S126">
        <v>1488355</v>
      </c>
      <c r="T126">
        <v>1626655</v>
      </c>
      <c r="U126" t="s">
        <v>33</v>
      </c>
      <c r="V126">
        <v>0</v>
      </c>
      <c r="W126">
        <v>8.0000000000000002E-3</v>
      </c>
      <c r="X126">
        <v>-138300</v>
      </c>
      <c r="Y126">
        <v>-8.5000000000000006E-2</v>
      </c>
    </row>
    <row r="127" spans="1:25" x14ac:dyDescent="0.25">
      <c r="A127" t="s">
        <v>200</v>
      </c>
      <c r="B127">
        <v>46234</v>
      </c>
      <c r="C127">
        <v>46241</v>
      </c>
      <c r="D127" t="s">
        <v>35</v>
      </c>
      <c r="E127" t="s">
        <v>52</v>
      </c>
      <c r="F127" t="s">
        <v>46</v>
      </c>
      <c r="G127" t="s">
        <v>73</v>
      </c>
      <c r="H127" t="s">
        <v>74</v>
      </c>
      <c r="I127" t="s">
        <v>47</v>
      </c>
      <c r="J127" t="s">
        <v>48</v>
      </c>
      <c r="K127" t="s">
        <v>41</v>
      </c>
      <c r="L127">
        <v>109</v>
      </c>
      <c r="M127">
        <v>107</v>
      </c>
      <c r="N127">
        <v>2</v>
      </c>
      <c r="O127">
        <v>626</v>
      </c>
      <c r="P127">
        <v>5</v>
      </c>
      <c r="Q127">
        <v>7</v>
      </c>
      <c r="R127">
        <v>2</v>
      </c>
      <c r="S127">
        <v>1607119</v>
      </c>
      <c r="T127">
        <v>1529748</v>
      </c>
      <c r="U127" t="s">
        <v>33</v>
      </c>
      <c r="V127">
        <v>0</v>
      </c>
      <c r="W127">
        <v>1.7999999999999999E-2</v>
      </c>
      <c r="X127">
        <v>77371</v>
      </c>
      <c r="Y127">
        <v>5.0999999999999997E-2</v>
      </c>
    </row>
    <row r="128" spans="1:25" x14ac:dyDescent="0.25">
      <c r="A128" t="s">
        <v>201</v>
      </c>
      <c r="B128">
        <v>46099</v>
      </c>
      <c r="C128">
        <v>46101</v>
      </c>
      <c r="D128" t="s">
        <v>57</v>
      </c>
      <c r="E128" t="s">
        <v>27</v>
      </c>
      <c r="F128" t="s">
        <v>37</v>
      </c>
      <c r="G128" t="s">
        <v>64</v>
      </c>
      <c r="H128" t="s">
        <v>65</v>
      </c>
      <c r="I128" t="s">
        <v>68</v>
      </c>
      <c r="J128" t="s">
        <v>69</v>
      </c>
      <c r="K128" t="s">
        <v>32</v>
      </c>
      <c r="L128">
        <v>72</v>
      </c>
      <c r="M128">
        <v>70</v>
      </c>
      <c r="N128">
        <v>2</v>
      </c>
      <c r="O128">
        <v>634</v>
      </c>
      <c r="P128">
        <v>2</v>
      </c>
      <c r="Q128">
        <v>2</v>
      </c>
      <c r="R128">
        <v>0</v>
      </c>
      <c r="S128">
        <v>730610</v>
      </c>
      <c r="T128">
        <v>769711</v>
      </c>
      <c r="U128" t="s">
        <v>42</v>
      </c>
      <c r="V128">
        <v>1</v>
      </c>
      <c r="W128">
        <v>2.8000000000000001E-2</v>
      </c>
      <c r="X128">
        <v>-39101</v>
      </c>
      <c r="Y128">
        <v>-5.0999999999999997E-2</v>
      </c>
    </row>
    <row r="129" spans="1:25" x14ac:dyDescent="0.25">
      <c r="A129" t="s">
        <v>202</v>
      </c>
      <c r="B129">
        <v>46080</v>
      </c>
      <c r="C129">
        <v>46084</v>
      </c>
      <c r="D129" t="s">
        <v>35</v>
      </c>
      <c r="E129" t="s">
        <v>52</v>
      </c>
      <c r="F129" t="s">
        <v>46</v>
      </c>
      <c r="G129" t="s">
        <v>72</v>
      </c>
      <c r="H129" t="s">
        <v>72</v>
      </c>
      <c r="I129" t="s">
        <v>38</v>
      </c>
      <c r="J129" t="s">
        <v>38</v>
      </c>
      <c r="K129" t="s">
        <v>41</v>
      </c>
      <c r="L129">
        <v>69</v>
      </c>
      <c r="M129">
        <v>67</v>
      </c>
      <c r="N129">
        <v>2</v>
      </c>
      <c r="O129">
        <v>100</v>
      </c>
      <c r="P129">
        <v>4</v>
      </c>
      <c r="Q129">
        <v>4</v>
      </c>
      <c r="R129">
        <v>0</v>
      </c>
      <c r="S129">
        <v>671314</v>
      </c>
      <c r="T129">
        <v>710984</v>
      </c>
      <c r="U129" t="s">
        <v>42</v>
      </c>
      <c r="V129">
        <v>1</v>
      </c>
      <c r="W129">
        <v>2.9000000000000001E-2</v>
      </c>
      <c r="X129">
        <v>-39670</v>
      </c>
      <c r="Y129">
        <v>-5.6000000000000001E-2</v>
      </c>
    </row>
    <row r="130" spans="1:25" x14ac:dyDescent="0.25">
      <c r="A130" t="s">
        <v>203</v>
      </c>
      <c r="B130">
        <v>46198</v>
      </c>
      <c r="C130">
        <v>46200</v>
      </c>
      <c r="D130" t="s">
        <v>44</v>
      </c>
      <c r="E130" t="s">
        <v>52</v>
      </c>
      <c r="F130" t="s">
        <v>53</v>
      </c>
      <c r="G130" t="s">
        <v>72</v>
      </c>
      <c r="H130" t="s">
        <v>72</v>
      </c>
      <c r="I130" t="s">
        <v>73</v>
      </c>
      <c r="J130" t="s">
        <v>74</v>
      </c>
      <c r="K130" t="s">
        <v>41</v>
      </c>
      <c r="L130">
        <v>114</v>
      </c>
      <c r="M130">
        <v>114</v>
      </c>
      <c r="N130">
        <v>0</v>
      </c>
      <c r="O130">
        <v>801</v>
      </c>
      <c r="P130">
        <v>1</v>
      </c>
      <c r="Q130">
        <v>2</v>
      </c>
      <c r="R130">
        <v>1</v>
      </c>
      <c r="S130">
        <v>1751286</v>
      </c>
      <c r="T130">
        <v>1913571</v>
      </c>
      <c r="U130" t="s">
        <v>33</v>
      </c>
      <c r="V130">
        <v>0</v>
      </c>
      <c r="W130">
        <v>0</v>
      </c>
      <c r="X130">
        <v>-162285</v>
      </c>
      <c r="Y130">
        <v>-8.5000000000000006E-2</v>
      </c>
    </row>
    <row r="131" spans="1:25" x14ac:dyDescent="0.25">
      <c r="A131" t="s">
        <v>204</v>
      </c>
      <c r="B131">
        <v>46074</v>
      </c>
      <c r="C131">
        <v>46079</v>
      </c>
      <c r="D131" t="s">
        <v>57</v>
      </c>
      <c r="E131" t="s">
        <v>36</v>
      </c>
      <c r="F131" t="s">
        <v>63</v>
      </c>
      <c r="G131" t="s">
        <v>88</v>
      </c>
      <c r="H131" t="s">
        <v>89</v>
      </c>
      <c r="I131" t="s">
        <v>58</v>
      </c>
      <c r="J131" t="s">
        <v>59</v>
      </c>
      <c r="K131" t="s">
        <v>32</v>
      </c>
      <c r="L131">
        <v>19</v>
      </c>
      <c r="M131">
        <v>18</v>
      </c>
      <c r="N131">
        <v>1</v>
      </c>
      <c r="O131">
        <v>67</v>
      </c>
      <c r="P131">
        <v>4</v>
      </c>
      <c r="Q131">
        <v>5</v>
      </c>
      <c r="R131">
        <v>1</v>
      </c>
      <c r="S131">
        <v>292029</v>
      </c>
      <c r="T131">
        <v>316149</v>
      </c>
      <c r="U131" t="s">
        <v>33</v>
      </c>
      <c r="V131">
        <v>0</v>
      </c>
      <c r="W131">
        <v>5.2999999999999999E-2</v>
      </c>
      <c r="X131">
        <v>-24120</v>
      </c>
      <c r="Y131">
        <v>-7.5999999999999998E-2</v>
      </c>
    </row>
    <row r="132" spans="1:25" x14ac:dyDescent="0.25">
      <c r="A132" t="s">
        <v>205</v>
      </c>
      <c r="B132">
        <v>46133</v>
      </c>
      <c r="C132">
        <v>46135</v>
      </c>
      <c r="D132" t="s">
        <v>62</v>
      </c>
      <c r="E132" t="s">
        <v>45</v>
      </c>
      <c r="F132" t="s">
        <v>37</v>
      </c>
      <c r="G132" t="s">
        <v>88</v>
      </c>
      <c r="H132" t="s">
        <v>89</v>
      </c>
      <c r="I132" t="s">
        <v>29</v>
      </c>
      <c r="J132" t="s">
        <v>29</v>
      </c>
      <c r="K132" t="s">
        <v>41</v>
      </c>
      <c r="L132">
        <v>128</v>
      </c>
      <c r="M132">
        <v>127</v>
      </c>
      <c r="N132">
        <v>1</v>
      </c>
      <c r="O132">
        <v>423</v>
      </c>
      <c r="P132">
        <v>1</v>
      </c>
      <c r="Q132">
        <v>2</v>
      </c>
      <c r="R132">
        <v>1</v>
      </c>
      <c r="S132">
        <v>1650351</v>
      </c>
      <c r="T132">
        <v>1824309</v>
      </c>
      <c r="U132" t="s">
        <v>33</v>
      </c>
      <c r="V132">
        <v>0</v>
      </c>
      <c r="W132">
        <v>8.0000000000000002E-3</v>
      </c>
      <c r="X132">
        <v>-173958</v>
      </c>
      <c r="Y132">
        <v>-9.5000000000000001E-2</v>
      </c>
    </row>
    <row r="133" spans="1:25" x14ac:dyDescent="0.25">
      <c r="A133" t="s">
        <v>206</v>
      </c>
      <c r="B133">
        <v>46182</v>
      </c>
      <c r="C133">
        <v>46186</v>
      </c>
      <c r="D133" t="s">
        <v>77</v>
      </c>
      <c r="E133" t="s">
        <v>67</v>
      </c>
      <c r="F133" t="s">
        <v>63</v>
      </c>
      <c r="G133" t="s">
        <v>68</v>
      </c>
      <c r="H133" t="s">
        <v>69</v>
      </c>
      <c r="I133" t="s">
        <v>47</v>
      </c>
      <c r="J133" t="s">
        <v>48</v>
      </c>
      <c r="K133" t="s">
        <v>41</v>
      </c>
      <c r="L133">
        <v>150</v>
      </c>
      <c r="M133">
        <v>148</v>
      </c>
      <c r="N133">
        <v>2</v>
      </c>
      <c r="O133">
        <v>26</v>
      </c>
      <c r="P133">
        <v>4</v>
      </c>
      <c r="Q133">
        <v>4</v>
      </c>
      <c r="R133">
        <v>0</v>
      </c>
      <c r="S133">
        <v>1699264</v>
      </c>
      <c r="T133">
        <v>1604746</v>
      </c>
      <c r="U133" t="s">
        <v>42</v>
      </c>
      <c r="V133">
        <v>1</v>
      </c>
      <c r="W133">
        <v>1.2999999999999999E-2</v>
      </c>
      <c r="X133">
        <v>94518</v>
      </c>
      <c r="Y133">
        <v>5.8999999999999997E-2</v>
      </c>
    </row>
    <row r="134" spans="1:25" x14ac:dyDescent="0.25">
      <c r="A134" t="s">
        <v>207</v>
      </c>
      <c r="B134">
        <v>46217</v>
      </c>
      <c r="C134">
        <v>46220</v>
      </c>
      <c r="D134" t="s">
        <v>57</v>
      </c>
      <c r="E134" t="s">
        <v>27</v>
      </c>
      <c r="F134" t="s">
        <v>63</v>
      </c>
      <c r="G134" t="s">
        <v>47</v>
      </c>
      <c r="H134" t="s">
        <v>48</v>
      </c>
      <c r="I134" t="s">
        <v>29</v>
      </c>
      <c r="J134" t="s">
        <v>29</v>
      </c>
      <c r="K134" t="s">
        <v>41</v>
      </c>
      <c r="L134">
        <v>46</v>
      </c>
      <c r="M134">
        <v>46</v>
      </c>
      <c r="N134">
        <v>0</v>
      </c>
      <c r="O134">
        <v>60</v>
      </c>
      <c r="P134">
        <v>2</v>
      </c>
      <c r="Q134">
        <v>3</v>
      </c>
      <c r="R134">
        <v>1</v>
      </c>
      <c r="S134">
        <v>477718</v>
      </c>
      <c r="T134">
        <v>516507</v>
      </c>
      <c r="U134" t="s">
        <v>33</v>
      </c>
      <c r="V134">
        <v>0</v>
      </c>
      <c r="W134">
        <v>0</v>
      </c>
      <c r="X134">
        <v>-38789</v>
      </c>
      <c r="Y134">
        <v>-7.4999999999999997E-2</v>
      </c>
    </row>
    <row r="135" spans="1:25" x14ac:dyDescent="0.25">
      <c r="A135" t="s">
        <v>208</v>
      </c>
      <c r="B135">
        <v>46163</v>
      </c>
      <c r="C135">
        <v>46169</v>
      </c>
      <c r="D135" t="s">
        <v>44</v>
      </c>
      <c r="E135" t="s">
        <v>36</v>
      </c>
      <c r="F135" t="s">
        <v>63</v>
      </c>
      <c r="G135" t="s">
        <v>91</v>
      </c>
      <c r="H135" t="s">
        <v>92</v>
      </c>
      <c r="I135" t="s">
        <v>39</v>
      </c>
      <c r="J135" t="s">
        <v>40</v>
      </c>
      <c r="K135" t="s">
        <v>41</v>
      </c>
      <c r="L135">
        <v>126</v>
      </c>
      <c r="M135">
        <v>124</v>
      </c>
      <c r="N135">
        <v>2</v>
      </c>
      <c r="O135">
        <v>657</v>
      </c>
      <c r="P135">
        <v>5</v>
      </c>
      <c r="Q135">
        <v>6</v>
      </c>
      <c r="R135">
        <v>1</v>
      </c>
      <c r="S135">
        <v>2017935</v>
      </c>
      <c r="T135">
        <v>2219737</v>
      </c>
      <c r="U135" t="s">
        <v>33</v>
      </c>
      <c r="V135">
        <v>0</v>
      </c>
      <c r="W135">
        <v>1.6E-2</v>
      </c>
      <c r="X135">
        <v>-201802</v>
      </c>
      <c r="Y135">
        <v>-9.0999999999999998E-2</v>
      </c>
    </row>
    <row r="136" spans="1:25" x14ac:dyDescent="0.25">
      <c r="A136" t="s">
        <v>209</v>
      </c>
      <c r="B136">
        <v>46178</v>
      </c>
      <c r="C136">
        <v>46183</v>
      </c>
      <c r="D136" t="s">
        <v>77</v>
      </c>
      <c r="E136" t="s">
        <v>67</v>
      </c>
      <c r="F136" t="s">
        <v>46</v>
      </c>
      <c r="G136" t="s">
        <v>30</v>
      </c>
      <c r="H136" t="s">
        <v>31</v>
      </c>
      <c r="I136" t="s">
        <v>58</v>
      </c>
      <c r="J136" t="s">
        <v>59</v>
      </c>
      <c r="K136" t="s">
        <v>41</v>
      </c>
      <c r="L136">
        <v>93</v>
      </c>
      <c r="M136">
        <v>93</v>
      </c>
      <c r="N136">
        <v>0</v>
      </c>
      <c r="O136">
        <v>170</v>
      </c>
      <c r="P136">
        <v>5</v>
      </c>
      <c r="Q136">
        <v>5</v>
      </c>
      <c r="R136">
        <v>0</v>
      </c>
      <c r="S136">
        <v>937640</v>
      </c>
      <c r="T136">
        <v>890702</v>
      </c>
      <c r="U136" t="s">
        <v>42</v>
      </c>
      <c r="V136">
        <v>1</v>
      </c>
      <c r="W136">
        <v>0</v>
      </c>
      <c r="X136">
        <v>46938</v>
      </c>
      <c r="Y136">
        <v>5.2999999999999999E-2</v>
      </c>
    </row>
    <row r="137" spans="1:25" x14ac:dyDescent="0.25">
      <c r="A137" t="s">
        <v>210</v>
      </c>
      <c r="B137">
        <v>46235</v>
      </c>
      <c r="C137">
        <v>46237</v>
      </c>
      <c r="D137" t="s">
        <v>35</v>
      </c>
      <c r="E137" t="s">
        <v>67</v>
      </c>
      <c r="F137" t="s">
        <v>37</v>
      </c>
      <c r="G137" t="s">
        <v>29</v>
      </c>
      <c r="H137" t="s">
        <v>29</v>
      </c>
      <c r="I137" t="s">
        <v>88</v>
      </c>
      <c r="J137" t="s">
        <v>89</v>
      </c>
      <c r="K137" t="s">
        <v>41</v>
      </c>
      <c r="L137">
        <v>15</v>
      </c>
      <c r="M137">
        <v>15</v>
      </c>
      <c r="N137">
        <v>0</v>
      </c>
      <c r="O137">
        <v>674</v>
      </c>
      <c r="P137">
        <v>2</v>
      </c>
      <c r="Q137">
        <v>2</v>
      </c>
      <c r="R137">
        <v>0</v>
      </c>
      <c r="S137">
        <v>357898</v>
      </c>
      <c r="T137">
        <v>374505</v>
      </c>
      <c r="U137" t="s">
        <v>42</v>
      </c>
      <c r="V137">
        <v>1</v>
      </c>
      <c r="W137">
        <v>0</v>
      </c>
      <c r="X137">
        <v>-16607</v>
      </c>
      <c r="Y137">
        <v>-4.3999999999999997E-2</v>
      </c>
    </row>
    <row r="138" spans="1:25" x14ac:dyDescent="0.25">
      <c r="A138" t="s">
        <v>211</v>
      </c>
      <c r="B138">
        <v>46172</v>
      </c>
      <c r="C138">
        <v>46175</v>
      </c>
      <c r="D138" t="s">
        <v>77</v>
      </c>
      <c r="E138" t="s">
        <v>85</v>
      </c>
      <c r="F138" t="s">
        <v>63</v>
      </c>
      <c r="G138" t="s">
        <v>29</v>
      </c>
      <c r="H138" t="s">
        <v>29</v>
      </c>
      <c r="I138" t="s">
        <v>88</v>
      </c>
      <c r="J138" t="s">
        <v>89</v>
      </c>
      <c r="K138" t="s">
        <v>32</v>
      </c>
      <c r="L138">
        <v>28</v>
      </c>
      <c r="M138">
        <v>27</v>
      </c>
      <c r="N138">
        <v>1</v>
      </c>
      <c r="O138">
        <v>724</v>
      </c>
      <c r="P138">
        <v>3</v>
      </c>
      <c r="Q138">
        <v>3</v>
      </c>
      <c r="R138">
        <v>0</v>
      </c>
      <c r="S138">
        <v>313404</v>
      </c>
      <c r="T138">
        <v>326141</v>
      </c>
      <c r="U138" t="s">
        <v>42</v>
      </c>
      <c r="V138">
        <v>1</v>
      </c>
      <c r="W138">
        <v>3.5999999999999997E-2</v>
      </c>
      <c r="X138">
        <v>-12737</v>
      </c>
      <c r="Y138">
        <v>-3.9E-2</v>
      </c>
    </row>
    <row r="139" spans="1:25" x14ac:dyDescent="0.25">
      <c r="A139" t="s">
        <v>212</v>
      </c>
      <c r="B139">
        <v>46157</v>
      </c>
      <c r="C139">
        <v>46160</v>
      </c>
      <c r="D139" t="s">
        <v>62</v>
      </c>
      <c r="E139" t="s">
        <v>45</v>
      </c>
      <c r="F139" t="s">
        <v>37</v>
      </c>
      <c r="G139" t="s">
        <v>72</v>
      </c>
      <c r="H139" t="s">
        <v>72</v>
      </c>
      <c r="I139" t="s">
        <v>30</v>
      </c>
      <c r="J139" t="s">
        <v>31</v>
      </c>
      <c r="K139" t="s">
        <v>41</v>
      </c>
      <c r="L139">
        <v>74</v>
      </c>
      <c r="M139">
        <v>73</v>
      </c>
      <c r="N139">
        <v>1</v>
      </c>
      <c r="O139">
        <v>449</v>
      </c>
      <c r="P139">
        <v>3</v>
      </c>
      <c r="Q139">
        <v>3</v>
      </c>
      <c r="R139">
        <v>0</v>
      </c>
      <c r="S139">
        <v>573000</v>
      </c>
      <c r="T139">
        <v>586644</v>
      </c>
      <c r="U139" t="s">
        <v>42</v>
      </c>
      <c r="V139">
        <v>1</v>
      </c>
      <c r="W139">
        <v>1.4E-2</v>
      </c>
      <c r="X139">
        <v>-13644</v>
      </c>
      <c r="Y139">
        <v>-2.3E-2</v>
      </c>
    </row>
    <row r="140" spans="1:25" x14ac:dyDescent="0.25">
      <c r="A140" t="s">
        <v>213</v>
      </c>
      <c r="B140">
        <v>46256</v>
      </c>
      <c r="C140">
        <v>46262</v>
      </c>
      <c r="D140" t="s">
        <v>26</v>
      </c>
      <c r="E140" t="s">
        <v>45</v>
      </c>
      <c r="F140" t="s">
        <v>28</v>
      </c>
      <c r="G140" t="s">
        <v>88</v>
      </c>
      <c r="H140" t="s">
        <v>89</v>
      </c>
      <c r="I140" t="s">
        <v>38</v>
      </c>
      <c r="J140" t="s">
        <v>38</v>
      </c>
      <c r="K140" t="s">
        <v>41</v>
      </c>
      <c r="L140">
        <v>48</v>
      </c>
      <c r="M140">
        <v>46</v>
      </c>
      <c r="N140">
        <v>2</v>
      </c>
      <c r="O140">
        <v>405</v>
      </c>
      <c r="P140">
        <v>4</v>
      </c>
      <c r="Q140">
        <v>6</v>
      </c>
      <c r="R140">
        <v>2</v>
      </c>
      <c r="S140">
        <v>771303</v>
      </c>
      <c r="T140">
        <v>812874</v>
      </c>
      <c r="U140" t="s">
        <v>33</v>
      </c>
      <c r="V140">
        <v>0</v>
      </c>
      <c r="W140">
        <v>4.2000000000000003E-2</v>
      </c>
      <c r="X140">
        <v>-41571</v>
      </c>
      <c r="Y140">
        <v>-5.0999999999999997E-2</v>
      </c>
    </row>
    <row r="141" spans="1:25" x14ac:dyDescent="0.25">
      <c r="A141" t="s">
        <v>214</v>
      </c>
      <c r="B141">
        <v>46103</v>
      </c>
      <c r="C141">
        <v>46109</v>
      </c>
      <c r="D141" t="s">
        <v>77</v>
      </c>
      <c r="E141" t="s">
        <v>52</v>
      </c>
      <c r="F141" t="s">
        <v>53</v>
      </c>
      <c r="G141" t="s">
        <v>30</v>
      </c>
      <c r="H141" t="s">
        <v>31</v>
      </c>
      <c r="I141" t="s">
        <v>88</v>
      </c>
      <c r="J141" t="s">
        <v>89</v>
      </c>
      <c r="K141" t="s">
        <v>32</v>
      </c>
      <c r="L141">
        <v>59</v>
      </c>
      <c r="M141">
        <v>58</v>
      </c>
      <c r="N141">
        <v>1</v>
      </c>
      <c r="O141">
        <v>232</v>
      </c>
      <c r="P141">
        <v>4</v>
      </c>
      <c r="Q141">
        <v>6</v>
      </c>
      <c r="R141">
        <v>2</v>
      </c>
      <c r="S141">
        <v>560775</v>
      </c>
      <c r="T141">
        <v>563319</v>
      </c>
      <c r="U141" t="s">
        <v>33</v>
      </c>
      <c r="V141">
        <v>0</v>
      </c>
      <c r="W141">
        <v>1.7000000000000001E-2</v>
      </c>
      <c r="X141">
        <v>-2544</v>
      </c>
      <c r="Y141">
        <v>-5.0000000000000001E-3</v>
      </c>
    </row>
    <row r="142" spans="1:25" x14ac:dyDescent="0.25">
      <c r="A142" t="s">
        <v>215</v>
      </c>
      <c r="B142">
        <v>46029</v>
      </c>
      <c r="C142">
        <v>46035</v>
      </c>
      <c r="D142" t="s">
        <v>26</v>
      </c>
      <c r="E142" t="s">
        <v>67</v>
      </c>
      <c r="F142" t="s">
        <v>46</v>
      </c>
      <c r="G142" t="s">
        <v>38</v>
      </c>
      <c r="H142" t="s">
        <v>38</v>
      </c>
      <c r="I142" t="s">
        <v>30</v>
      </c>
      <c r="J142" t="s">
        <v>31</v>
      </c>
      <c r="K142" t="s">
        <v>41</v>
      </c>
      <c r="L142">
        <v>96</v>
      </c>
      <c r="M142">
        <v>93</v>
      </c>
      <c r="N142">
        <v>3</v>
      </c>
      <c r="O142">
        <v>651</v>
      </c>
      <c r="P142">
        <v>6</v>
      </c>
      <c r="Q142">
        <v>6</v>
      </c>
      <c r="R142">
        <v>0</v>
      </c>
      <c r="S142">
        <v>1697631</v>
      </c>
      <c r="T142">
        <v>1822780</v>
      </c>
      <c r="U142" t="s">
        <v>42</v>
      </c>
      <c r="V142">
        <v>1</v>
      </c>
      <c r="W142">
        <v>3.1E-2</v>
      </c>
      <c r="X142">
        <v>-125149</v>
      </c>
      <c r="Y142">
        <v>-6.9000000000000006E-2</v>
      </c>
    </row>
    <row r="143" spans="1:25" x14ac:dyDescent="0.25">
      <c r="A143" t="s">
        <v>216</v>
      </c>
      <c r="B143">
        <v>46064</v>
      </c>
      <c r="C143">
        <v>46066</v>
      </c>
      <c r="D143" t="s">
        <v>44</v>
      </c>
      <c r="E143" t="s">
        <v>36</v>
      </c>
      <c r="F143" t="s">
        <v>46</v>
      </c>
      <c r="G143" t="s">
        <v>88</v>
      </c>
      <c r="H143" t="s">
        <v>89</v>
      </c>
      <c r="I143" t="s">
        <v>39</v>
      </c>
      <c r="J143" t="s">
        <v>40</v>
      </c>
      <c r="K143" t="s">
        <v>41</v>
      </c>
      <c r="L143">
        <v>40</v>
      </c>
      <c r="M143">
        <v>40</v>
      </c>
      <c r="N143">
        <v>0</v>
      </c>
      <c r="O143">
        <v>505</v>
      </c>
      <c r="P143">
        <v>2</v>
      </c>
      <c r="Q143">
        <v>2</v>
      </c>
      <c r="R143">
        <v>0</v>
      </c>
      <c r="S143">
        <v>544095</v>
      </c>
      <c r="T143">
        <v>537748</v>
      </c>
      <c r="U143" t="s">
        <v>42</v>
      </c>
      <c r="V143">
        <v>1</v>
      </c>
      <c r="W143">
        <v>0</v>
      </c>
      <c r="X143">
        <v>6347</v>
      </c>
      <c r="Y143">
        <v>1.2E-2</v>
      </c>
    </row>
    <row r="144" spans="1:25" x14ac:dyDescent="0.25">
      <c r="A144" t="s">
        <v>217</v>
      </c>
      <c r="B144">
        <v>46101</v>
      </c>
      <c r="C144">
        <v>46106</v>
      </c>
      <c r="D144" t="s">
        <v>44</v>
      </c>
      <c r="E144" t="s">
        <v>45</v>
      </c>
      <c r="F144" t="s">
        <v>46</v>
      </c>
      <c r="G144" t="s">
        <v>64</v>
      </c>
      <c r="H144" t="s">
        <v>65</v>
      </c>
      <c r="I144" t="s">
        <v>72</v>
      </c>
      <c r="J144" t="s">
        <v>72</v>
      </c>
      <c r="K144" t="s">
        <v>32</v>
      </c>
      <c r="L144">
        <v>158</v>
      </c>
      <c r="M144">
        <v>155</v>
      </c>
      <c r="N144">
        <v>3</v>
      </c>
      <c r="O144">
        <v>220</v>
      </c>
      <c r="P144">
        <v>5</v>
      </c>
      <c r="Q144">
        <v>5</v>
      </c>
      <c r="R144">
        <v>0</v>
      </c>
      <c r="S144">
        <v>1497568</v>
      </c>
      <c r="T144">
        <v>1653132</v>
      </c>
      <c r="U144" t="s">
        <v>42</v>
      </c>
      <c r="V144">
        <v>1</v>
      </c>
      <c r="W144">
        <v>1.9E-2</v>
      </c>
      <c r="X144">
        <v>-155564</v>
      </c>
      <c r="Y144">
        <v>-9.4E-2</v>
      </c>
    </row>
    <row r="145" spans="1:25" x14ac:dyDescent="0.25">
      <c r="A145" t="s">
        <v>218</v>
      </c>
      <c r="B145">
        <v>46108</v>
      </c>
      <c r="C145">
        <v>46114</v>
      </c>
      <c r="D145" t="s">
        <v>57</v>
      </c>
      <c r="E145" t="s">
        <v>67</v>
      </c>
      <c r="F145" t="s">
        <v>37</v>
      </c>
      <c r="G145" t="s">
        <v>49</v>
      </c>
      <c r="H145" t="s">
        <v>50</v>
      </c>
      <c r="I145" t="s">
        <v>91</v>
      </c>
      <c r="J145" t="s">
        <v>92</v>
      </c>
      <c r="K145" t="s">
        <v>41</v>
      </c>
      <c r="L145">
        <v>138</v>
      </c>
      <c r="M145">
        <v>136</v>
      </c>
      <c r="N145">
        <v>2</v>
      </c>
      <c r="O145">
        <v>91</v>
      </c>
      <c r="P145">
        <v>4</v>
      </c>
      <c r="Q145">
        <v>6</v>
      </c>
      <c r="R145">
        <v>2</v>
      </c>
      <c r="S145">
        <v>1702836</v>
      </c>
      <c r="T145">
        <v>1676451</v>
      </c>
      <c r="U145" t="s">
        <v>33</v>
      </c>
      <c r="V145">
        <v>0</v>
      </c>
      <c r="W145">
        <v>1.4E-2</v>
      </c>
      <c r="X145">
        <v>26385</v>
      </c>
      <c r="Y145">
        <v>1.6E-2</v>
      </c>
    </row>
    <row r="146" spans="1:25" x14ac:dyDescent="0.25">
      <c r="A146" t="s">
        <v>219</v>
      </c>
      <c r="B146">
        <v>46046</v>
      </c>
      <c r="C146">
        <v>46055</v>
      </c>
      <c r="D146" t="s">
        <v>57</v>
      </c>
      <c r="E146" t="s">
        <v>36</v>
      </c>
      <c r="F146" t="s">
        <v>46</v>
      </c>
      <c r="G146" t="s">
        <v>58</v>
      </c>
      <c r="H146" t="s">
        <v>59</v>
      </c>
      <c r="I146" t="s">
        <v>54</v>
      </c>
      <c r="J146" t="s">
        <v>55</v>
      </c>
      <c r="K146" t="s">
        <v>41</v>
      </c>
      <c r="L146">
        <v>29</v>
      </c>
      <c r="M146">
        <v>28</v>
      </c>
      <c r="N146">
        <v>1</v>
      </c>
      <c r="O146">
        <v>277</v>
      </c>
      <c r="P146">
        <v>4</v>
      </c>
      <c r="Q146">
        <v>9</v>
      </c>
      <c r="R146">
        <v>5</v>
      </c>
      <c r="S146">
        <v>321599</v>
      </c>
      <c r="T146">
        <v>327198</v>
      </c>
      <c r="U146" t="s">
        <v>75</v>
      </c>
      <c r="V146">
        <v>0</v>
      </c>
      <c r="W146">
        <v>3.4000000000000002E-2</v>
      </c>
      <c r="X146">
        <v>-5599</v>
      </c>
      <c r="Y146">
        <v>-1.7000000000000001E-2</v>
      </c>
    </row>
    <row r="147" spans="1:25" x14ac:dyDescent="0.25">
      <c r="A147" t="s">
        <v>220</v>
      </c>
      <c r="B147">
        <v>46167</v>
      </c>
      <c r="C147">
        <v>46170</v>
      </c>
      <c r="D147" t="s">
        <v>77</v>
      </c>
      <c r="E147" t="s">
        <v>27</v>
      </c>
      <c r="F147" t="s">
        <v>53</v>
      </c>
      <c r="G147" t="s">
        <v>91</v>
      </c>
      <c r="H147" t="s">
        <v>92</v>
      </c>
      <c r="I147" t="s">
        <v>64</v>
      </c>
      <c r="J147" t="s">
        <v>65</v>
      </c>
      <c r="K147" t="s">
        <v>41</v>
      </c>
      <c r="L147">
        <v>29</v>
      </c>
      <c r="M147">
        <v>28</v>
      </c>
      <c r="N147">
        <v>1</v>
      </c>
      <c r="O147">
        <v>103</v>
      </c>
      <c r="P147">
        <v>3</v>
      </c>
      <c r="Q147">
        <v>3</v>
      </c>
      <c r="R147">
        <v>0</v>
      </c>
      <c r="S147">
        <v>404439</v>
      </c>
      <c r="T147">
        <v>434911</v>
      </c>
      <c r="U147" t="s">
        <v>42</v>
      </c>
      <c r="V147">
        <v>1</v>
      </c>
      <c r="W147">
        <v>3.4000000000000002E-2</v>
      </c>
      <c r="X147">
        <v>-30472</v>
      </c>
      <c r="Y147">
        <v>-7.0000000000000007E-2</v>
      </c>
    </row>
    <row r="148" spans="1:25" x14ac:dyDescent="0.25">
      <c r="A148" t="s">
        <v>221</v>
      </c>
      <c r="B148">
        <v>46086</v>
      </c>
      <c r="C148">
        <v>46092</v>
      </c>
      <c r="D148" t="s">
        <v>62</v>
      </c>
      <c r="E148" t="s">
        <v>57</v>
      </c>
      <c r="F148" t="s">
        <v>46</v>
      </c>
      <c r="G148" t="s">
        <v>58</v>
      </c>
      <c r="H148" t="s">
        <v>59</v>
      </c>
      <c r="I148" t="s">
        <v>68</v>
      </c>
      <c r="J148" t="s">
        <v>69</v>
      </c>
      <c r="K148" t="s">
        <v>60</v>
      </c>
      <c r="L148">
        <v>47</v>
      </c>
      <c r="M148">
        <v>47</v>
      </c>
      <c r="N148">
        <v>0</v>
      </c>
      <c r="O148">
        <v>278</v>
      </c>
      <c r="P148">
        <v>6</v>
      </c>
      <c r="Q148">
        <v>6</v>
      </c>
      <c r="R148">
        <v>0</v>
      </c>
      <c r="S148">
        <v>538313</v>
      </c>
      <c r="T148">
        <v>511615</v>
      </c>
      <c r="U148" t="s">
        <v>42</v>
      </c>
      <c r="V148">
        <v>1</v>
      </c>
      <c r="W148">
        <v>0</v>
      </c>
      <c r="X148">
        <v>26698</v>
      </c>
      <c r="Y148">
        <v>5.1999999999999998E-2</v>
      </c>
    </row>
    <row r="149" spans="1:25" x14ac:dyDescent="0.25">
      <c r="A149" t="s">
        <v>222</v>
      </c>
      <c r="B149">
        <v>46163</v>
      </c>
      <c r="C149">
        <v>46165</v>
      </c>
      <c r="D149" t="s">
        <v>35</v>
      </c>
      <c r="E149" t="s">
        <v>27</v>
      </c>
      <c r="F149" t="s">
        <v>53</v>
      </c>
      <c r="G149" t="s">
        <v>29</v>
      </c>
      <c r="H149" t="s">
        <v>29</v>
      </c>
      <c r="I149" t="s">
        <v>73</v>
      </c>
      <c r="J149" t="s">
        <v>74</v>
      </c>
      <c r="K149" t="s">
        <v>41</v>
      </c>
      <c r="L149">
        <v>119</v>
      </c>
      <c r="M149">
        <v>117</v>
      </c>
      <c r="N149">
        <v>2</v>
      </c>
      <c r="O149">
        <v>287</v>
      </c>
      <c r="P149">
        <v>2</v>
      </c>
      <c r="Q149">
        <v>2</v>
      </c>
      <c r="R149">
        <v>0</v>
      </c>
      <c r="S149">
        <v>1672916</v>
      </c>
      <c r="T149">
        <v>1745872</v>
      </c>
      <c r="U149" t="s">
        <v>42</v>
      </c>
      <c r="V149">
        <v>1</v>
      </c>
      <c r="W149">
        <v>1.7000000000000001E-2</v>
      </c>
      <c r="X149">
        <v>-72956</v>
      </c>
      <c r="Y149">
        <v>-4.2000000000000003E-2</v>
      </c>
    </row>
    <row r="150" spans="1:25" x14ac:dyDescent="0.25">
      <c r="A150" t="s">
        <v>223</v>
      </c>
      <c r="B150">
        <v>46078</v>
      </c>
      <c r="C150">
        <v>46086</v>
      </c>
      <c r="D150" t="s">
        <v>62</v>
      </c>
      <c r="E150" t="s">
        <v>27</v>
      </c>
      <c r="F150" t="s">
        <v>63</v>
      </c>
      <c r="G150" t="s">
        <v>30</v>
      </c>
      <c r="H150" t="s">
        <v>31</v>
      </c>
      <c r="I150" t="s">
        <v>68</v>
      </c>
      <c r="J150" t="s">
        <v>69</v>
      </c>
      <c r="K150" t="s">
        <v>41</v>
      </c>
      <c r="L150">
        <v>67</v>
      </c>
      <c r="M150">
        <v>65</v>
      </c>
      <c r="N150">
        <v>2</v>
      </c>
      <c r="O150">
        <v>509</v>
      </c>
      <c r="P150">
        <v>4</v>
      </c>
      <c r="Q150">
        <v>8</v>
      </c>
      <c r="R150">
        <v>4</v>
      </c>
      <c r="S150">
        <v>936189</v>
      </c>
      <c r="T150">
        <v>983761</v>
      </c>
      <c r="U150" t="s">
        <v>75</v>
      </c>
      <c r="V150">
        <v>0</v>
      </c>
      <c r="W150">
        <v>0.03</v>
      </c>
      <c r="X150">
        <v>-47572</v>
      </c>
      <c r="Y150">
        <v>-4.8000000000000001E-2</v>
      </c>
    </row>
    <row r="151" spans="1:25" x14ac:dyDescent="0.25">
      <c r="A151" t="s">
        <v>224</v>
      </c>
      <c r="B151">
        <v>46156</v>
      </c>
      <c r="C151">
        <v>46158</v>
      </c>
      <c r="D151" t="s">
        <v>62</v>
      </c>
      <c r="E151" t="s">
        <v>27</v>
      </c>
      <c r="F151" t="s">
        <v>28</v>
      </c>
      <c r="G151" t="s">
        <v>54</v>
      </c>
      <c r="H151" t="s">
        <v>55</v>
      </c>
      <c r="I151" t="s">
        <v>29</v>
      </c>
      <c r="J151" t="s">
        <v>29</v>
      </c>
      <c r="K151" t="s">
        <v>41</v>
      </c>
      <c r="L151">
        <v>83</v>
      </c>
      <c r="M151">
        <v>83</v>
      </c>
      <c r="N151">
        <v>0</v>
      </c>
      <c r="O151">
        <v>685</v>
      </c>
      <c r="P151">
        <v>2</v>
      </c>
      <c r="Q151">
        <v>2</v>
      </c>
      <c r="R151">
        <v>0</v>
      </c>
      <c r="S151">
        <v>1254474</v>
      </c>
      <c r="T151">
        <v>1201709</v>
      </c>
      <c r="U151" t="s">
        <v>42</v>
      </c>
      <c r="V151">
        <v>1</v>
      </c>
      <c r="W151">
        <v>0</v>
      </c>
      <c r="X151">
        <v>52765</v>
      </c>
      <c r="Y151">
        <v>4.3999999999999997E-2</v>
      </c>
    </row>
    <row r="152" spans="1:25" x14ac:dyDescent="0.25">
      <c r="A152" t="s">
        <v>225</v>
      </c>
      <c r="B152">
        <v>46239</v>
      </c>
      <c r="C152">
        <v>46241</v>
      </c>
      <c r="D152" t="s">
        <v>57</v>
      </c>
      <c r="E152" t="s">
        <v>52</v>
      </c>
      <c r="F152" t="s">
        <v>63</v>
      </c>
      <c r="G152" t="s">
        <v>58</v>
      </c>
      <c r="H152" t="s">
        <v>59</v>
      </c>
      <c r="I152" t="s">
        <v>68</v>
      </c>
      <c r="J152" t="s">
        <v>69</v>
      </c>
      <c r="K152" t="s">
        <v>32</v>
      </c>
      <c r="L152">
        <v>143</v>
      </c>
      <c r="M152">
        <v>141</v>
      </c>
      <c r="N152">
        <v>2</v>
      </c>
      <c r="O152">
        <v>727</v>
      </c>
      <c r="P152">
        <v>2</v>
      </c>
      <c r="Q152">
        <v>2</v>
      </c>
      <c r="R152">
        <v>0</v>
      </c>
      <c r="S152">
        <v>1838887</v>
      </c>
      <c r="T152">
        <v>1789611</v>
      </c>
      <c r="U152" t="s">
        <v>42</v>
      </c>
      <c r="V152">
        <v>1</v>
      </c>
      <c r="W152">
        <v>1.4E-2</v>
      </c>
      <c r="X152">
        <v>49276</v>
      </c>
      <c r="Y152">
        <v>2.8000000000000001E-2</v>
      </c>
    </row>
    <row r="153" spans="1:25" x14ac:dyDescent="0.25">
      <c r="A153" t="s">
        <v>226</v>
      </c>
      <c r="B153">
        <v>46192</v>
      </c>
      <c r="C153">
        <v>46202</v>
      </c>
      <c r="D153" t="s">
        <v>77</v>
      </c>
      <c r="E153" t="s">
        <v>85</v>
      </c>
      <c r="F153" t="s">
        <v>63</v>
      </c>
      <c r="G153" t="s">
        <v>30</v>
      </c>
      <c r="H153" t="s">
        <v>31</v>
      </c>
      <c r="I153" t="s">
        <v>68</v>
      </c>
      <c r="J153" t="s">
        <v>69</v>
      </c>
      <c r="K153" t="s">
        <v>32</v>
      </c>
      <c r="L153">
        <v>117</v>
      </c>
      <c r="M153">
        <v>114</v>
      </c>
      <c r="N153">
        <v>3</v>
      </c>
      <c r="O153">
        <v>129</v>
      </c>
      <c r="P153">
        <v>3</v>
      </c>
      <c r="Q153">
        <v>10</v>
      </c>
      <c r="R153">
        <v>7</v>
      </c>
      <c r="S153">
        <v>563073</v>
      </c>
      <c r="T153">
        <v>553546</v>
      </c>
      <c r="U153" t="s">
        <v>75</v>
      </c>
      <c r="V153">
        <v>0</v>
      </c>
      <c r="W153">
        <v>2.5999999999999999E-2</v>
      </c>
      <c r="X153">
        <v>9527</v>
      </c>
      <c r="Y153">
        <v>1.7000000000000001E-2</v>
      </c>
    </row>
    <row r="154" spans="1:25" x14ac:dyDescent="0.25">
      <c r="A154" t="s">
        <v>227</v>
      </c>
      <c r="B154">
        <v>46084</v>
      </c>
      <c r="C154">
        <v>46090</v>
      </c>
      <c r="D154" t="s">
        <v>62</v>
      </c>
      <c r="E154" t="s">
        <v>36</v>
      </c>
      <c r="F154" t="s">
        <v>63</v>
      </c>
      <c r="G154" t="s">
        <v>72</v>
      </c>
      <c r="H154" t="s">
        <v>72</v>
      </c>
      <c r="I154" t="s">
        <v>49</v>
      </c>
      <c r="J154" t="s">
        <v>50</v>
      </c>
      <c r="K154" t="s">
        <v>41</v>
      </c>
      <c r="L154">
        <v>32</v>
      </c>
      <c r="M154">
        <v>31</v>
      </c>
      <c r="N154">
        <v>1</v>
      </c>
      <c r="O154">
        <v>739</v>
      </c>
      <c r="P154">
        <v>3</v>
      </c>
      <c r="Q154">
        <v>6</v>
      </c>
      <c r="R154">
        <v>3</v>
      </c>
      <c r="S154">
        <v>606288</v>
      </c>
      <c r="T154">
        <v>612365</v>
      </c>
      <c r="U154" t="s">
        <v>33</v>
      </c>
      <c r="V154">
        <v>0</v>
      </c>
      <c r="W154">
        <v>3.1E-2</v>
      </c>
      <c r="X154">
        <v>-6077</v>
      </c>
      <c r="Y154">
        <v>-0.01</v>
      </c>
    </row>
    <row r="155" spans="1:25" x14ac:dyDescent="0.25">
      <c r="A155" t="s">
        <v>228</v>
      </c>
      <c r="B155">
        <v>46113</v>
      </c>
      <c r="C155">
        <v>46118</v>
      </c>
      <c r="D155" t="s">
        <v>35</v>
      </c>
      <c r="E155" t="s">
        <v>27</v>
      </c>
      <c r="F155" t="s">
        <v>53</v>
      </c>
      <c r="G155" t="s">
        <v>39</v>
      </c>
      <c r="H155" t="s">
        <v>40</v>
      </c>
      <c r="I155" t="s">
        <v>72</v>
      </c>
      <c r="J155" t="s">
        <v>72</v>
      </c>
      <c r="K155" t="s">
        <v>41</v>
      </c>
      <c r="L155">
        <v>91</v>
      </c>
      <c r="M155">
        <v>90</v>
      </c>
      <c r="N155">
        <v>1</v>
      </c>
      <c r="O155">
        <v>67</v>
      </c>
      <c r="P155">
        <v>5</v>
      </c>
      <c r="Q155">
        <v>5</v>
      </c>
      <c r="R155">
        <v>0</v>
      </c>
      <c r="S155">
        <v>741282</v>
      </c>
      <c r="T155">
        <v>800900</v>
      </c>
      <c r="U155" t="s">
        <v>42</v>
      </c>
      <c r="V155">
        <v>1</v>
      </c>
      <c r="W155">
        <v>1.0999999999999999E-2</v>
      </c>
      <c r="X155">
        <v>-59618</v>
      </c>
      <c r="Y155">
        <v>-7.3999999999999996E-2</v>
      </c>
    </row>
    <row r="156" spans="1:25" x14ac:dyDescent="0.25">
      <c r="A156" t="s">
        <v>229</v>
      </c>
      <c r="B156">
        <v>46084</v>
      </c>
      <c r="C156">
        <v>46098</v>
      </c>
      <c r="D156" t="s">
        <v>44</v>
      </c>
      <c r="E156" t="s">
        <v>103</v>
      </c>
      <c r="F156" t="s">
        <v>53</v>
      </c>
      <c r="G156" t="s">
        <v>88</v>
      </c>
      <c r="H156" t="s">
        <v>89</v>
      </c>
      <c r="I156" t="s">
        <v>38</v>
      </c>
      <c r="J156" t="s">
        <v>38</v>
      </c>
      <c r="K156" t="s">
        <v>32</v>
      </c>
      <c r="L156">
        <v>147</v>
      </c>
      <c r="M156">
        <v>142</v>
      </c>
      <c r="N156">
        <v>5</v>
      </c>
      <c r="O156">
        <v>235</v>
      </c>
      <c r="P156">
        <v>4</v>
      </c>
      <c r="Q156">
        <v>14</v>
      </c>
      <c r="R156">
        <v>10</v>
      </c>
      <c r="S156">
        <v>1513065</v>
      </c>
      <c r="T156">
        <v>1499399</v>
      </c>
      <c r="U156" t="s">
        <v>75</v>
      </c>
      <c r="V156">
        <v>0</v>
      </c>
      <c r="W156">
        <v>3.4000000000000002E-2</v>
      </c>
      <c r="X156">
        <v>13666</v>
      </c>
      <c r="Y156">
        <v>8.9999999999999993E-3</v>
      </c>
    </row>
    <row r="157" spans="1:25" x14ac:dyDescent="0.25">
      <c r="A157" t="s">
        <v>230</v>
      </c>
      <c r="B157">
        <v>46162</v>
      </c>
      <c r="C157">
        <v>46168</v>
      </c>
      <c r="D157" t="s">
        <v>26</v>
      </c>
      <c r="E157" t="s">
        <v>57</v>
      </c>
      <c r="F157" t="s">
        <v>28</v>
      </c>
      <c r="G157" t="s">
        <v>72</v>
      </c>
      <c r="H157" t="s">
        <v>72</v>
      </c>
      <c r="I157" t="s">
        <v>47</v>
      </c>
      <c r="J157" t="s">
        <v>48</v>
      </c>
      <c r="K157" t="s">
        <v>60</v>
      </c>
      <c r="L157">
        <v>53</v>
      </c>
      <c r="M157">
        <v>53</v>
      </c>
      <c r="N157">
        <v>0</v>
      </c>
      <c r="O157">
        <v>828</v>
      </c>
      <c r="P157">
        <v>5</v>
      </c>
      <c r="Q157">
        <v>6</v>
      </c>
      <c r="R157">
        <v>1</v>
      </c>
      <c r="S157">
        <v>796343</v>
      </c>
      <c r="T157">
        <v>743665</v>
      </c>
      <c r="U157" t="s">
        <v>33</v>
      </c>
      <c r="V157">
        <v>0</v>
      </c>
      <c r="W157">
        <v>0</v>
      </c>
      <c r="X157">
        <v>52678</v>
      </c>
      <c r="Y157">
        <v>7.0999999999999994E-2</v>
      </c>
    </row>
    <row r="158" spans="1:25" x14ac:dyDescent="0.25">
      <c r="A158" t="s">
        <v>231</v>
      </c>
      <c r="B158">
        <v>46190</v>
      </c>
      <c r="C158">
        <v>46200</v>
      </c>
      <c r="D158" t="s">
        <v>35</v>
      </c>
      <c r="E158" t="s">
        <v>85</v>
      </c>
      <c r="F158" t="s">
        <v>28</v>
      </c>
      <c r="G158" t="s">
        <v>49</v>
      </c>
      <c r="H158" t="s">
        <v>50</v>
      </c>
      <c r="I158" t="s">
        <v>88</v>
      </c>
      <c r="J158" t="s">
        <v>89</v>
      </c>
      <c r="K158" t="s">
        <v>41</v>
      </c>
      <c r="L158">
        <v>122</v>
      </c>
      <c r="M158">
        <v>119</v>
      </c>
      <c r="N158">
        <v>3</v>
      </c>
      <c r="O158">
        <v>805</v>
      </c>
      <c r="P158">
        <v>3</v>
      </c>
      <c r="Q158">
        <v>10</v>
      </c>
      <c r="R158">
        <v>7</v>
      </c>
      <c r="S158">
        <v>2006521</v>
      </c>
      <c r="T158">
        <v>2146204</v>
      </c>
      <c r="U158" t="s">
        <v>75</v>
      </c>
      <c r="V158">
        <v>0</v>
      </c>
      <c r="W158">
        <v>2.5000000000000001E-2</v>
      </c>
      <c r="X158">
        <v>-139683</v>
      </c>
      <c r="Y158">
        <v>-6.5000000000000002E-2</v>
      </c>
    </row>
    <row r="159" spans="1:25" x14ac:dyDescent="0.25">
      <c r="A159" t="s">
        <v>232</v>
      </c>
      <c r="B159">
        <v>46179</v>
      </c>
      <c r="C159">
        <v>46183</v>
      </c>
      <c r="D159" t="s">
        <v>35</v>
      </c>
      <c r="E159" t="s">
        <v>85</v>
      </c>
      <c r="F159" t="s">
        <v>63</v>
      </c>
      <c r="G159" t="s">
        <v>29</v>
      </c>
      <c r="H159" t="s">
        <v>29</v>
      </c>
      <c r="I159" t="s">
        <v>64</v>
      </c>
      <c r="J159" t="s">
        <v>65</v>
      </c>
      <c r="K159" t="s">
        <v>41</v>
      </c>
      <c r="L159">
        <v>118</v>
      </c>
      <c r="M159">
        <v>114</v>
      </c>
      <c r="N159">
        <v>4</v>
      </c>
      <c r="O159">
        <v>814</v>
      </c>
      <c r="P159">
        <v>3</v>
      </c>
      <c r="Q159">
        <v>4</v>
      </c>
      <c r="R159">
        <v>1</v>
      </c>
      <c r="S159">
        <v>1116066</v>
      </c>
      <c r="T159">
        <v>1177668</v>
      </c>
      <c r="U159" t="s">
        <v>33</v>
      </c>
      <c r="V159">
        <v>0</v>
      </c>
      <c r="W159">
        <v>3.4000000000000002E-2</v>
      </c>
      <c r="X159">
        <v>-61602</v>
      </c>
      <c r="Y159">
        <v>-5.1999999999999998E-2</v>
      </c>
    </row>
    <row r="160" spans="1:25" x14ac:dyDescent="0.25">
      <c r="A160" t="s">
        <v>233</v>
      </c>
      <c r="B160">
        <v>46058</v>
      </c>
      <c r="C160">
        <v>46065</v>
      </c>
      <c r="D160" t="s">
        <v>77</v>
      </c>
      <c r="E160" t="s">
        <v>85</v>
      </c>
      <c r="F160" t="s">
        <v>37</v>
      </c>
      <c r="G160" t="s">
        <v>73</v>
      </c>
      <c r="H160" t="s">
        <v>74</v>
      </c>
      <c r="I160" t="s">
        <v>49</v>
      </c>
      <c r="J160" t="s">
        <v>50</v>
      </c>
      <c r="K160" t="s">
        <v>32</v>
      </c>
      <c r="L160">
        <v>16</v>
      </c>
      <c r="M160">
        <v>15</v>
      </c>
      <c r="N160">
        <v>1</v>
      </c>
      <c r="O160">
        <v>257</v>
      </c>
      <c r="P160">
        <v>3</v>
      </c>
      <c r="Q160">
        <v>7</v>
      </c>
      <c r="R160">
        <v>4</v>
      </c>
      <c r="S160">
        <v>271738</v>
      </c>
      <c r="T160">
        <v>291033</v>
      </c>
      <c r="U160" t="s">
        <v>75</v>
      </c>
      <c r="V160">
        <v>0</v>
      </c>
      <c r="W160">
        <v>6.2E-2</v>
      </c>
      <c r="X160">
        <v>-19295</v>
      </c>
      <c r="Y160">
        <v>-6.6000000000000003E-2</v>
      </c>
    </row>
    <row r="161" spans="1:25" x14ac:dyDescent="0.25">
      <c r="A161" t="s">
        <v>234</v>
      </c>
      <c r="B161">
        <v>46115</v>
      </c>
      <c r="C161">
        <v>46121</v>
      </c>
      <c r="D161" t="s">
        <v>57</v>
      </c>
      <c r="E161" t="s">
        <v>57</v>
      </c>
      <c r="F161" t="s">
        <v>53</v>
      </c>
      <c r="G161" t="s">
        <v>91</v>
      </c>
      <c r="H161" t="s">
        <v>92</v>
      </c>
      <c r="I161" t="s">
        <v>80</v>
      </c>
      <c r="J161" t="s">
        <v>80</v>
      </c>
      <c r="K161" t="s">
        <v>41</v>
      </c>
      <c r="L161">
        <v>6</v>
      </c>
      <c r="M161">
        <v>6</v>
      </c>
      <c r="N161">
        <v>0</v>
      </c>
      <c r="O161">
        <v>565</v>
      </c>
      <c r="P161">
        <v>6</v>
      </c>
      <c r="Q161">
        <v>6</v>
      </c>
      <c r="R161">
        <v>0</v>
      </c>
      <c r="S161">
        <v>384873</v>
      </c>
      <c r="T161">
        <v>417031</v>
      </c>
      <c r="U161" t="s">
        <v>42</v>
      </c>
      <c r="V161">
        <v>1</v>
      </c>
      <c r="W161">
        <v>0</v>
      </c>
      <c r="X161">
        <v>-32158</v>
      </c>
      <c r="Y161">
        <v>-7.6999999999999999E-2</v>
      </c>
    </row>
    <row r="162" spans="1:25" x14ac:dyDescent="0.25">
      <c r="A162" t="s">
        <v>235</v>
      </c>
      <c r="B162">
        <v>46197</v>
      </c>
      <c r="C162">
        <v>46204</v>
      </c>
      <c r="D162" t="s">
        <v>62</v>
      </c>
      <c r="E162" t="s">
        <v>57</v>
      </c>
      <c r="F162" t="s">
        <v>28</v>
      </c>
      <c r="G162" t="s">
        <v>68</v>
      </c>
      <c r="H162" t="s">
        <v>69</v>
      </c>
      <c r="I162" t="s">
        <v>91</v>
      </c>
      <c r="J162" t="s">
        <v>92</v>
      </c>
      <c r="K162" t="s">
        <v>32</v>
      </c>
      <c r="L162">
        <v>7</v>
      </c>
      <c r="M162">
        <v>7</v>
      </c>
      <c r="N162">
        <v>0</v>
      </c>
      <c r="O162">
        <v>727</v>
      </c>
      <c r="P162">
        <v>5</v>
      </c>
      <c r="Q162">
        <v>7</v>
      </c>
      <c r="R162">
        <v>2</v>
      </c>
      <c r="S162">
        <v>165207</v>
      </c>
      <c r="T162">
        <v>156998</v>
      </c>
      <c r="U162" t="s">
        <v>33</v>
      </c>
      <c r="V162">
        <v>0</v>
      </c>
      <c r="W162">
        <v>0</v>
      </c>
      <c r="X162">
        <v>8209</v>
      </c>
      <c r="Y162">
        <v>5.1999999999999998E-2</v>
      </c>
    </row>
    <row r="163" spans="1:25" x14ac:dyDescent="0.25">
      <c r="A163" t="s">
        <v>236</v>
      </c>
      <c r="B163">
        <v>46155</v>
      </c>
      <c r="C163">
        <v>46164</v>
      </c>
      <c r="D163" t="s">
        <v>44</v>
      </c>
      <c r="E163" t="s">
        <v>27</v>
      </c>
      <c r="F163" t="s">
        <v>37</v>
      </c>
      <c r="G163" t="s">
        <v>49</v>
      </c>
      <c r="H163" t="s">
        <v>50</v>
      </c>
      <c r="I163" t="s">
        <v>38</v>
      </c>
      <c r="J163" t="s">
        <v>38</v>
      </c>
      <c r="K163" t="s">
        <v>41</v>
      </c>
      <c r="L163">
        <v>136</v>
      </c>
      <c r="M163">
        <v>135</v>
      </c>
      <c r="N163">
        <v>1</v>
      </c>
      <c r="O163">
        <v>128</v>
      </c>
      <c r="P163">
        <v>5</v>
      </c>
      <c r="Q163">
        <v>9</v>
      </c>
      <c r="R163">
        <v>4</v>
      </c>
      <c r="S163">
        <v>1398680</v>
      </c>
      <c r="T163">
        <v>1510594</v>
      </c>
      <c r="U163" t="s">
        <v>75</v>
      </c>
      <c r="V163">
        <v>0</v>
      </c>
      <c r="W163">
        <v>7.0000000000000001E-3</v>
      </c>
      <c r="X163">
        <v>-111914</v>
      </c>
      <c r="Y163">
        <v>-7.3999999999999996E-2</v>
      </c>
    </row>
    <row r="164" spans="1:25" x14ac:dyDescent="0.25">
      <c r="A164" t="s">
        <v>237</v>
      </c>
      <c r="B164">
        <v>46195</v>
      </c>
      <c r="C164">
        <v>46199</v>
      </c>
      <c r="D164" t="s">
        <v>35</v>
      </c>
      <c r="E164" t="s">
        <v>45</v>
      </c>
      <c r="F164" t="s">
        <v>37</v>
      </c>
      <c r="G164" t="s">
        <v>80</v>
      </c>
      <c r="H164" t="s">
        <v>80</v>
      </c>
      <c r="I164" t="s">
        <v>58</v>
      </c>
      <c r="J164" t="s">
        <v>59</v>
      </c>
      <c r="K164" t="s">
        <v>60</v>
      </c>
      <c r="L164">
        <v>90</v>
      </c>
      <c r="M164">
        <v>89</v>
      </c>
      <c r="N164">
        <v>1</v>
      </c>
      <c r="O164">
        <v>258</v>
      </c>
      <c r="P164">
        <v>3</v>
      </c>
      <c r="Q164">
        <v>4</v>
      </c>
      <c r="R164">
        <v>1</v>
      </c>
      <c r="S164">
        <v>762864</v>
      </c>
      <c r="T164">
        <v>707222</v>
      </c>
      <c r="U164" t="s">
        <v>33</v>
      </c>
      <c r="V164">
        <v>0</v>
      </c>
      <c r="W164">
        <v>1.0999999999999999E-2</v>
      </c>
      <c r="X164">
        <v>55642</v>
      </c>
      <c r="Y164">
        <v>7.9000000000000001E-2</v>
      </c>
    </row>
    <row r="165" spans="1:25" x14ac:dyDescent="0.25">
      <c r="A165" t="s">
        <v>238</v>
      </c>
      <c r="B165">
        <v>46096</v>
      </c>
      <c r="C165">
        <v>46112</v>
      </c>
      <c r="D165" t="s">
        <v>57</v>
      </c>
      <c r="E165" t="s">
        <v>67</v>
      </c>
      <c r="F165" t="s">
        <v>63</v>
      </c>
      <c r="G165" t="s">
        <v>73</v>
      </c>
      <c r="H165" t="s">
        <v>74</v>
      </c>
      <c r="I165" t="s">
        <v>47</v>
      </c>
      <c r="J165" t="s">
        <v>48</v>
      </c>
      <c r="K165" t="s">
        <v>32</v>
      </c>
      <c r="L165">
        <v>136</v>
      </c>
      <c r="M165">
        <v>132</v>
      </c>
      <c r="N165">
        <v>4</v>
      </c>
      <c r="O165">
        <v>647</v>
      </c>
      <c r="P165">
        <v>6</v>
      </c>
      <c r="Q165">
        <v>16</v>
      </c>
      <c r="R165">
        <v>10</v>
      </c>
      <c r="S165">
        <v>2098863</v>
      </c>
      <c r="T165">
        <v>2234059</v>
      </c>
      <c r="U165" t="s">
        <v>75</v>
      </c>
      <c r="V165">
        <v>0</v>
      </c>
      <c r="W165">
        <v>2.9000000000000001E-2</v>
      </c>
      <c r="X165">
        <v>-135196</v>
      </c>
      <c r="Y165">
        <v>-6.0999999999999999E-2</v>
      </c>
    </row>
    <row r="166" spans="1:25" x14ac:dyDescent="0.25">
      <c r="A166" t="s">
        <v>239</v>
      </c>
      <c r="B166">
        <v>46080</v>
      </c>
      <c r="C166">
        <v>46085</v>
      </c>
      <c r="D166" t="s">
        <v>62</v>
      </c>
      <c r="E166" t="s">
        <v>85</v>
      </c>
      <c r="F166" t="s">
        <v>28</v>
      </c>
      <c r="G166" t="s">
        <v>91</v>
      </c>
      <c r="H166" t="s">
        <v>92</v>
      </c>
      <c r="I166" t="s">
        <v>88</v>
      </c>
      <c r="J166" t="s">
        <v>89</v>
      </c>
      <c r="K166" t="s">
        <v>41</v>
      </c>
      <c r="L166">
        <v>42</v>
      </c>
      <c r="M166">
        <v>42</v>
      </c>
      <c r="N166">
        <v>0</v>
      </c>
      <c r="O166">
        <v>796</v>
      </c>
      <c r="P166">
        <v>5</v>
      </c>
      <c r="Q166">
        <v>5</v>
      </c>
      <c r="R166">
        <v>0</v>
      </c>
      <c r="S166">
        <v>694448</v>
      </c>
      <c r="T166">
        <v>651807</v>
      </c>
      <c r="U166" t="s">
        <v>42</v>
      </c>
      <c r="V166">
        <v>1</v>
      </c>
      <c r="W166">
        <v>0</v>
      </c>
      <c r="X166">
        <v>42641</v>
      </c>
      <c r="Y166">
        <v>6.5000000000000002E-2</v>
      </c>
    </row>
    <row r="167" spans="1:25" x14ac:dyDescent="0.25">
      <c r="A167" t="s">
        <v>240</v>
      </c>
      <c r="B167">
        <v>46158</v>
      </c>
      <c r="C167">
        <v>46160</v>
      </c>
      <c r="D167" t="s">
        <v>77</v>
      </c>
      <c r="E167" t="s">
        <v>103</v>
      </c>
      <c r="F167" t="s">
        <v>28</v>
      </c>
      <c r="G167" t="s">
        <v>29</v>
      </c>
      <c r="H167" t="s">
        <v>29</v>
      </c>
      <c r="I167" t="s">
        <v>30</v>
      </c>
      <c r="J167" t="s">
        <v>31</v>
      </c>
      <c r="K167" t="s">
        <v>32</v>
      </c>
      <c r="L167">
        <v>86</v>
      </c>
      <c r="M167">
        <v>81</v>
      </c>
      <c r="N167">
        <v>5</v>
      </c>
      <c r="O167">
        <v>183</v>
      </c>
      <c r="P167">
        <v>1</v>
      </c>
      <c r="Q167">
        <v>2</v>
      </c>
      <c r="R167">
        <v>1</v>
      </c>
      <c r="S167">
        <v>772785</v>
      </c>
      <c r="T167">
        <v>733991</v>
      </c>
      <c r="U167" t="s">
        <v>33</v>
      </c>
      <c r="V167">
        <v>0</v>
      </c>
      <c r="W167">
        <v>5.8000000000000003E-2</v>
      </c>
      <c r="X167">
        <v>38794</v>
      </c>
      <c r="Y167">
        <v>5.2999999999999999E-2</v>
      </c>
    </row>
    <row r="168" spans="1:25" x14ac:dyDescent="0.25">
      <c r="A168" t="s">
        <v>241</v>
      </c>
      <c r="B168">
        <v>46185</v>
      </c>
      <c r="C168">
        <v>46191</v>
      </c>
      <c r="D168" t="s">
        <v>57</v>
      </c>
      <c r="E168" t="s">
        <v>52</v>
      </c>
      <c r="F168" t="s">
        <v>53</v>
      </c>
      <c r="G168" t="s">
        <v>91</v>
      </c>
      <c r="H168" t="s">
        <v>92</v>
      </c>
      <c r="I168" t="s">
        <v>88</v>
      </c>
      <c r="J168" t="s">
        <v>89</v>
      </c>
      <c r="K168" t="s">
        <v>32</v>
      </c>
      <c r="L168">
        <v>98</v>
      </c>
      <c r="M168">
        <v>97</v>
      </c>
      <c r="N168">
        <v>1</v>
      </c>
      <c r="O168">
        <v>207</v>
      </c>
      <c r="P168">
        <v>5</v>
      </c>
      <c r="Q168">
        <v>6</v>
      </c>
      <c r="R168">
        <v>1</v>
      </c>
      <c r="S168">
        <v>1122812</v>
      </c>
      <c r="T168">
        <v>1085951</v>
      </c>
      <c r="U168" t="s">
        <v>33</v>
      </c>
      <c r="V168">
        <v>0</v>
      </c>
      <c r="W168">
        <v>0.01</v>
      </c>
      <c r="X168">
        <v>36861</v>
      </c>
      <c r="Y168">
        <v>3.4000000000000002E-2</v>
      </c>
    </row>
    <row r="169" spans="1:25" x14ac:dyDescent="0.25">
      <c r="A169" t="s">
        <v>242</v>
      </c>
      <c r="B169">
        <v>46187</v>
      </c>
      <c r="C169">
        <v>46191</v>
      </c>
      <c r="D169" t="s">
        <v>35</v>
      </c>
      <c r="E169" t="s">
        <v>67</v>
      </c>
      <c r="F169" t="s">
        <v>63</v>
      </c>
      <c r="G169" t="s">
        <v>91</v>
      </c>
      <c r="H169" t="s">
        <v>92</v>
      </c>
      <c r="I169" t="s">
        <v>68</v>
      </c>
      <c r="J169" t="s">
        <v>69</v>
      </c>
      <c r="K169" t="s">
        <v>41</v>
      </c>
      <c r="L169">
        <v>51</v>
      </c>
      <c r="M169">
        <v>50</v>
      </c>
      <c r="N169">
        <v>1</v>
      </c>
      <c r="O169">
        <v>423</v>
      </c>
      <c r="P169">
        <v>3</v>
      </c>
      <c r="Q169">
        <v>4</v>
      </c>
      <c r="R169">
        <v>1</v>
      </c>
      <c r="S169">
        <v>400791</v>
      </c>
      <c r="T169">
        <v>436044</v>
      </c>
      <c r="U169" t="s">
        <v>33</v>
      </c>
      <c r="V169">
        <v>0</v>
      </c>
      <c r="W169">
        <v>0.02</v>
      </c>
      <c r="X169">
        <v>-35253</v>
      </c>
      <c r="Y169">
        <v>-8.1000000000000003E-2</v>
      </c>
    </row>
    <row r="170" spans="1:25" x14ac:dyDescent="0.25">
      <c r="A170" t="s">
        <v>243</v>
      </c>
      <c r="B170">
        <v>46087</v>
      </c>
      <c r="C170">
        <v>46094</v>
      </c>
      <c r="D170" t="s">
        <v>44</v>
      </c>
      <c r="E170" t="s">
        <v>36</v>
      </c>
      <c r="F170" t="s">
        <v>28</v>
      </c>
      <c r="G170" t="s">
        <v>64</v>
      </c>
      <c r="H170" t="s">
        <v>65</v>
      </c>
      <c r="I170" t="s">
        <v>30</v>
      </c>
      <c r="J170" t="s">
        <v>31</v>
      </c>
      <c r="K170" t="s">
        <v>60</v>
      </c>
      <c r="L170">
        <v>111</v>
      </c>
      <c r="M170">
        <v>111</v>
      </c>
      <c r="N170">
        <v>0</v>
      </c>
      <c r="O170">
        <v>649</v>
      </c>
      <c r="P170">
        <v>7</v>
      </c>
      <c r="Q170">
        <v>7</v>
      </c>
      <c r="R170">
        <v>0</v>
      </c>
      <c r="S170">
        <v>1382850</v>
      </c>
      <c r="T170">
        <v>1347745</v>
      </c>
      <c r="U170" t="s">
        <v>42</v>
      </c>
      <c r="V170">
        <v>1</v>
      </c>
      <c r="W170">
        <v>0</v>
      </c>
      <c r="X170">
        <v>35105</v>
      </c>
      <c r="Y170">
        <v>2.5999999999999999E-2</v>
      </c>
    </row>
    <row r="171" spans="1:25" x14ac:dyDescent="0.25">
      <c r="A171" t="s">
        <v>244</v>
      </c>
      <c r="B171">
        <v>46119</v>
      </c>
      <c r="C171">
        <v>46124</v>
      </c>
      <c r="D171" t="s">
        <v>26</v>
      </c>
      <c r="E171" t="s">
        <v>57</v>
      </c>
      <c r="F171" t="s">
        <v>28</v>
      </c>
      <c r="G171" t="s">
        <v>73</v>
      </c>
      <c r="H171" t="s">
        <v>74</v>
      </c>
      <c r="I171" t="s">
        <v>88</v>
      </c>
      <c r="J171" t="s">
        <v>89</v>
      </c>
      <c r="K171" t="s">
        <v>41</v>
      </c>
      <c r="L171">
        <v>153</v>
      </c>
      <c r="M171">
        <v>150</v>
      </c>
      <c r="N171">
        <v>3</v>
      </c>
      <c r="O171">
        <v>98</v>
      </c>
      <c r="P171">
        <v>4</v>
      </c>
      <c r="Q171">
        <v>5</v>
      </c>
      <c r="R171">
        <v>1</v>
      </c>
      <c r="S171">
        <v>2089615</v>
      </c>
      <c r="T171">
        <v>2217507</v>
      </c>
      <c r="U171" t="s">
        <v>33</v>
      </c>
      <c r="V171">
        <v>0</v>
      </c>
      <c r="W171">
        <v>0.02</v>
      </c>
      <c r="X171">
        <v>-127892</v>
      </c>
      <c r="Y171">
        <v>-5.8000000000000003E-2</v>
      </c>
    </row>
    <row r="172" spans="1:25" x14ac:dyDescent="0.25">
      <c r="A172" t="s">
        <v>245</v>
      </c>
      <c r="B172">
        <v>46050</v>
      </c>
      <c r="C172">
        <v>46058</v>
      </c>
      <c r="D172" t="s">
        <v>77</v>
      </c>
      <c r="E172" t="s">
        <v>67</v>
      </c>
      <c r="F172" t="s">
        <v>53</v>
      </c>
      <c r="G172" t="s">
        <v>73</v>
      </c>
      <c r="H172" t="s">
        <v>74</v>
      </c>
      <c r="I172" t="s">
        <v>72</v>
      </c>
      <c r="J172" t="s">
        <v>72</v>
      </c>
      <c r="K172" t="s">
        <v>41</v>
      </c>
      <c r="L172">
        <v>64</v>
      </c>
      <c r="M172">
        <v>63</v>
      </c>
      <c r="N172">
        <v>1</v>
      </c>
      <c r="O172">
        <v>388</v>
      </c>
      <c r="P172">
        <v>5</v>
      </c>
      <c r="Q172">
        <v>8</v>
      </c>
      <c r="R172">
        <v>3</v>
      </c>
      <c r="S172">
        <v>642040</v>
      </c>
      <c r="T172">
        <v>687159</v>
      </c>
      <c r="U172" t="s">
        <v>33</v>
      </c>
      <c r="V172">
        <v>0</v>
      </c>
      <c r="W172">
        <v>1.6E-2</v>
      </c>
      <c r="X172">
        <v>-45119</v>
      </c>
      <c r="Y172">
        <v>-6.6000000000000003E-2</v>
      </c>
    </row>
    <row r="173" spans="1:25" x14ac:dyDescent="0.25">
      <c r="A173" t="s">
        <v>246</v>
      </c>
      <c r="B173">
        <v>46209</v>
      </c>
      <c r="C173">
        <v>46215</v>
      </c>
      <c r="D173" t="s">
        <v>35</v>
      </c>
      <c r="E173" t="s">
        <v>27</v>
      </c>
      <c r="F173" t="s">
        <v>53</v>
      </c>
      <c r="G173" t="s">
        <v>29</v>
      </c>
      <c r="H173" t="s">
        <v>29</v>
      </c>
      <c r="I173" t="s">
        <v>73</v>
      </c>
      <c r="J173" t="s">
        <v>74</v>
      </c>
      <c r="K173" t="s">
        <v>41</v>
      </c>
      <c r="L173">
        <v>84</v>
      </c>
      <c r="M173">
        <v>82</v>
      </c>
      <c r="N173">
        <v>2</v>
      </c>
      <c r="O173">
        <v>424</v>
      </c>
      <c r="P173">
        <v>6</v>
      </c>
      <c r="Q173">
        <v>6</v>
      </c>
      <c r="R173">
        <v>0</v>
      </c>
      <c r="S173">
        <v>655296</v>
      </c>
      <c r="T173">
        <v>713589</v>
      </c>
      <c r="U173" t="s">
        <v>42</v>
      </c>
      <c r="V173">
        <v>1</v>
      </c>
      <c r="W173">
        <v>2.4E-2</v>
      </c>
      <c r="X173">
        <v>-58293</v>
      </c>
      <c r="Y173">
        <v>-8.2000000000000003E-2</v>
      </c>
    </row>
    <row r="174" spans="1:25" x14ac:dyDescent="0.25">
      <c r="A174" t="s">
        <v>247</v>
      </c>
      <c r="B174">
        <v>46110</v>
      </c>
      <c r="C174">
        <v>46115</v>
      </c>
      <c r="D174" t="s">
        <v>57</v>
      </c>
      <c r="E174" t="s">
        <v>45</v>
      </c>
      <c r="F174" t="s">
        <v>63</v>
      </c>
      <c r="G174" t="s">
        <v>38</v>
      </c>
      <c r="H174" t="s">
        <v>38</v>
      </c>
      <c r="I174" t="s">
        <v>80</v>
      </c>
      <c r="J174" t="s">
        <v>80</v>
      </c>
      <c r="K174" t="s">
        <v>32</v>
      </c>
      <c r="L174">
        <v>25</v>
      </c>
      <c r="M174">
        <v>25</v>
      </c>
      <c r="N174">
        <v>0</v>
      </c>
      <c r="O174">
        <v>220</v>
      </c>
      <c r="P174">
        <v>4</v>
      </c>
      <c r="Q174">
        <v>5</v>
      </c>
      <c r="R174">
        <v>1</v>
      </c>
      <c r="S174">
        <v>254245</v>
      </c>
      <c r="T174">
        <v>273153</v>
      </c>
      <c r="U174" t="s">
        <v>33</v>
      </c>
      <c r="V174">
        <v>0</v>
      </c>
      <c r="W174">
        <v>0</v>
      </c>
      <c r="X174">
        <v>-18908</v>
      </c>
      <c r="Y174">
        <v>-6.9000000000000006E-2</v>
      </c>
    </row>
    <row r="175" spans="1:25" x14ac:dyDescent="0.25">
      <c r="A175" t="s">
        <v>248</v>
      </c>
      <c r="B175">
        <v>46146</v>
      </c>
      <c r="C175">
        <v>46151</v>
      </c>
      <c r="D175" t="s">
        <v>57</v>
      </c>
      <c r="E175" t="s">
        <v>52</v>
      </c>
      <c r="F175" t="s">
        <v>63</v>
      </c>
      <c r="G175" t="s">
        <v>49</v>
      </c>
      <c r="H175" t="s">
        <v>50</v>
      </c>
      <c r="I175" t="s">
        <v>39</v>
      </c>
      <c r="J175" t="s">
        <v>40</v>
      </c>
      <c r="K175" t="s">
        <v>41</v>
      </c>
      <c r="L175">
        <v>62</v>
      </c>
      <c r="M175">
        <v>61</v>
      </c>
      <c r="N175">
        <v>1</v>
      </c>
      <c r="O175">
        <v>45</v>
      </c>
      <c r="P175">
        <v>3</v>
      </c>
      <c r="Q175">
        <v>5</v>
      </c>
      <c r="R175">
        <v>2</v>
      </c>
      <c r="S175">
        <v>523055</v>
      </c>
      <c r="T175">
        <v>501211</v>
      </c>
      <c r="U175" t="s">
        <v>33</v>
      </c>
      <c r="V175">
        <v>0</v>
      </c>
      <c r="W175">
        <v>1.6E-2</v>
      </c>
      <c r="X175">
        <v>21844</v>
      </c>
      <c r="Y175">
        <v>4.3999999999999997E-2</v>
      </c>
    </row>
    <row r="176" spans="1:25" x14ac:dyDescent="0.25">
      <c r="A176" t="s">
        <v>249</v>
      </c>
      <c r="B176">
        <v>46215</v>
      </c>
      <c r="C176">
        <v>46217</v>
      </c>
      <c r="D176" t="s">
        <v>35</v>
      </c>
      <c r="E176" t="s">
        <v>67</v>
      </c>
      <c r="F176" t="s">
        <v>28</v>
      </c>
      <c r="G176" t="s">
        <v>39</v>
      </c>
      <c r="H176" t="s">
        <v>40</v>
      </c>
      <c r="I176" t="s">
        <v>64</v>
      </c>
      <c r="J176" t="s">
        <v>65</v>
      </c>
      <c r="K176" t="s">
        <v>32</v>
      </c>
      <c r="L176">
        <v>131</v>
      </c>
      <c r="M176">
        <v>129</v>
      </c>
      <c r="N176">
        <v>2</v>
      </c>
      <c r="O176">
        <v>514</v>
      </c>
      <c r="P176">
        <v>2</v>
      </c>
      <c r="Q176">
        <v>2</v>
      </c>
      <c r="R176">
        <v>0</v>
      </c>
      <c r="S176">
        <v>892839</v>
      </c>
      <c r="T176">
        <v>914872</v>
      </c>
      <c r="U176" t="s">
        <v>42</v>
      </c>
      <c r="V176">
        <v>1</v>
      </c>
      <c r="W176">
        <v>1.4999999999999999E-2</v>
      </c>
      <c r="X176">
        <v>-22033</v>
      </c>
      <c r="Y176">
        <v>-2.4E-2</v>
      </c>
    </row>
    <row r="177" spans="1:25" x14ac:dyDescent="0.25">
      <c r="A177" t="s">
        <v>250</v>
      </c>
      <c r="B177">
        <v>46111</v>
      </c>
      <c r="C177">
        <v>46115</v>
      </c>
      <c r="D177" t="s">
        <v>26</v>
      </c>
      <c r="E177" t="s">
        <v>45</v>
      </c>
      <c r="F177" t="s">
        <v>53</v>
      </c>
      <c r="G177" t="s">
        <v>72</v>
      </c>
      <c r="H177" t="s">
        <v>72</v>
      </c>
      <c r="I177" t="s">
        <v>49</v>
      </c>
      <c r="J177" t="s">
        <v>50</v>
      </c>
      <c r="K177" t="s">
        <v>41</v>
      </c>
      <c r="L177">
        <v>61</v>
      </c>
      <c r="M177">
        <v>60</v>
      </c>
      <c r="N177">
        <v>1</v>
      </c>
      <c r="O177">
        <v>90</v>
      </c>
      <c r="P177">
        <v>2</v>
      </c>
      <c r="Q177">
        <v>4</v>
      </c>
      <c r="R177">
        <v>2</v>
      </c>
      <c r="S177">
        <v>722815</v>
      </c>
      <c r="T177">
        <v>789601</v>
      </c>
      <c r="U177" t="s">
        <v>33</v>
      </c>
      <c r="V177">
        <v>0</v>
      </c>
      <c r="W177">
        <v>1.6E-2</v>
      </c>
      <c r="X177">
        <v>-66786</v>
      </c>
      <c r="Y177">
        <v>-8.5000000000000006E-2</v>
      </c>
    </row>
    <row r="178" spans="1:25" x14ac:dyDescent="0.25">
      <c r="A178" t="s">
        <v>251</v>
      </c>
      <c r="B178">
        <v>46125</v>
      </c>
      <c r="C178">
        <v>46129</v>
      </c>
      <c r="D178" t="s">
        <v>62</v>
      </c>
      <c r="E178" t="s">
        <v>57</v>
      </c>
      <c r="F178" t="s">
        <v>53</v>
      </c>
      <c r="G178" t="s">
        <v>80</v>
      </c>
      <c r="H178" t="s">
        <v>80</v>
      </c>
      <c r="I178" t="s">
        <v>49</v>
      </c>
      <c r="J178" t="s">
        <v>50</v>
      </c>
      <c r="K178" t="s">
        <v>41</v>
      </c>
      <c r="L178">
        <v>36</v>
      </c>
      <c r="M178">
        <v>35</v>
      </c>
      <c r="N178">
        <v>1</v>
      </c>
      <c r="O178">
        <v>415</v>
      </c>
      <c r="P178">
        <v>1</v>
      </c>
      <c r="Q178">
        <v>4</v>
      </c>
      <c r="R178">
        <v>3</v>
      </c>
      <c r="S178">
        <v>315799</v>
      </c>
      <c r="T178">
        <v>324947</v>
      </c>
      <c r="U178" t="s">
        <v>33</v>
      </c>
      <c r="V178">
        <v>0</v>
      </c>
      <c r="W178">
        <v>2.8000000000000001E-2</v>
      </c>
      <c r="X178">
        <v>-9148</v>
      </c>
      <c r="Y178">
        <v>-2.8000000000000001E-2</v>
      </c>
    </row>
    <row r="179" spans="1:25" x14ac:dyDescent="0.25">
      <c r="A179" t="s">
        <v>252</v>
      </c>
      <c r="B179">
        <v>46181</v>
      </c>
      <c r="C179">
        <v>46189</v>
      </c>
      <c r="D179" t="s">
        <v>57</v>
      </c>
      <c r="E179" t="s">
        <v>85</v>
      </c>
      <c r="F179" t="s">
        <v>53</v>
      </c>
      <c r="G179" t="s">
        <v>39</v>
      </c>
      <c r="H179" t="s">
        <v>40</v>
      </c>
      <c r="I179" t="s">
        <v>54</v>
      </c>
      <c r="J179" t="s">
        <v>55</v>
      </c>
      <c r="K179" t="s">
        <v>41</v>
      </c>
      <c r="L179">
        <v>32</v>
      </c>
      <c r="M179">
        <v>31</v>
      </c>
      <c r="N179">
        <v>1</v>
      </c>
      <c r="O179">
        <v>50</v>
      </c>
      <c r="P179">
        <v>7</v>
      </c>
      <c r="Q179">
        <v>8</v>
      </c>
      <c r="R179">
        <v>1</v>
      </c>
      <c r="S179">
        <v>333032</v>
      </c>
      <c r="T179">
        <v>343190</v>
      </c>
      <c r="U179" t="s">
        <v>33</v>
      </c>
      <c r="V179">
        <v>0</v>
      </c>
      <c r="W179">
        <v>3.1E-2</v>
      </c>
      <c r="X179">
        <v>-10158</v>
      </c>
      <c r="Y179">
        <v>-0.03</v>
      </c>
    </row>
    <row r="180" spans="1:25" x14ac:dyDescent="0.25">
      <c r="A180" t="s">
        <v>253</v>
      </c>
      <c r="B180">
        <v>46253</v>
      </c>
      <c r="C180">
        <v>46257</v>
      </c>
      <c r="D180" t="s">
        <v>77</v>
      </c>
      <c r="E180" t="s">
        <v>45</v>
      </c>
      <c r="F180" t="s">
        <v>46</v>
      </c>
      <c r="G180" t="s">
        <v>72</v>
      </c>
      <c r="H180" t="s">
        <v>72</v>
      </c>
      <c r="I180" t="s">
        <v>49</v>
      </c>
      <c r="J180" t="s">
        <v>50</v>
      </c>
      <c r="K180" t="s">
        <v>41</v>
      </c>
      <c r="L180">
        <v>93</v>
      </c>
      <c r="M180">
        <v>92</v>
      </c>
      <c r="N180">
        <v>1</v>
      </c>
      <c r="O180">
        <v>403</v>
      </c>
      <c r="P180">
        <v>2</v>
      </c>
      <c r="Q180">
        <v>4</v>
      </c>
      <c r="R180">
        <v>2</v>
      </c>
      <c r="S180">
        <v>1156734</v>
      </c>
      <c r="T180">
        <v>1166235</v>
      </c>
      <c r="U180" t="s">
        <v>33</v>
      </c>
      <c r="V180">
        <v>0</v>
      </c>
      <c r="W180">
        <v>1.0999999999999999E-2</v>
      </c>
      <c r="X180">
        <v>-9501</v>
      </c>
      <c r="Y180">
        <v>-8.0000000000000002E-3</v>
      </c>
    </row>
    <row r="181" spans="1:25" x14ac:dyDescent="0.25">
      <c r="A181" t="s">
        <v>254</v>
      </c>
      <c r="B181">
        <v>46111</v>
      </c>
      <c r="C181">
        <v>46115</v>
      </c>
      <c r="D181" t="s">
        <v>77</v>
      </c>
      <c r="E181" t="s">
        <v>67</v>
      </c>
      <c r="F181" t="s">
        <v>37</v>
      </c>
      <c r="G181" t="s">
        <v>30</v>
      </c>
      <c r="H181" t="s">
        <v>31</v>
      </c>
      <c r="I181" t="s">
        <v>88</v>
      </c>
      <c r="J181" t="s">
        <v>89</v>
      </c>
      <c r="K181" t="s">
        <v>32</v>
      </c>
      <c r="L181">
        <v>147</v>
      </c>
      <c r="M181">
        <v>145</v>
      </c>
      <c r="N181">
        <v>2</v>
      </c>
      <c r="O181">
        <v>262</v>
      </c>
      <c r="P181">
        <v>3</v>
      </c>
      <c r="Q181">
        <v>4</v>
      </c>
      <c r="R181">
        <v>1</v>
      </c>
      <c r="S181">
        <v>1523339</v>
      </c>
      <c r="T181">
        <v>1449595</v>
      </c>
      <c r="U181" t="s">
        <v>33</v>
      </c>
      <c r="V181">
        <v>0</v>
      </c>
      <c r="W181">
        <v>1.4E-2</v>
      </c>
      <c r="X181">
        <v>73744</v>
      </c>
      <c r="Y181">
        <v>5.0999999999999997E-2</v>
      </c>
    </row>
    <row r="182" spans="1:25" x14ac:dyDescent="0.25">
      <c r="A182" t="s">
        <v>255</v>
      </c>
      <c r="B182">
        <v>46053</v>
      </c>
      <c r="C182">
        <v>46066</v>
      </c>
      <c r="D182" t="s">
        <v>26</v>
      </c>
      <c r="E182" t="s">
        <v>36</v>
      </c>
      <c r="F182" t="s">
        <v>46</v>
      </c>
      <c r="G182" t="s">
        <v>68</v>
      </c>
      <c r="H182" t="s">
        <v>69</v>
      </c>
      <c r="I182" t="s">
        <v>73</v>
      </c>
      <c r="J182" t="s">
        <v>74</v>
      </c>
      <c r="K182" t="s">
        <v>41</v>
      </c>
      <c r="L182">
        <v>133</v>
      </c>
      <c r="M182">
        <v>131</v>
      </c>
      <c r="N182">
        <v>2</v>
      </c>
      <c r="O182">
        <v>544</v>
      </c>
      <c r="P182">
        <v>3</v>
      </c>
      <c r="Q182">
        <v>13</v>
      </c>
      <c r="R182">
        <v>10</v>
      </c>
      <c r="S182">
        <v>987256</v>
      </c>
      <c r="T182">
        <v>1037466</v>
      </c>
      <c r="U182" t="s">
        <v>75</v>
      </c>
      <c r="V182">
        <v>0</v>
      </c>
      <c r="W182">
        <v>1.4999999999999999E-2</v>
      </c>
      <c r="X182">
        <v>-50210</v>
      </c>
      <c r="Y182">
        <v>-4.8000000000000001E-2</v>
      </c>
    </row>
    <row r="183" spans="1:25" x14ac:dyDescent="0.25">
      <c r="A183" t="s">
        <v>256</v>
      </c>
      <c r="B183">
        <v>46072</v>
      </c>
      <c r="C183">
        <v>46085</v>
      </c>
      <c r="D183" t="s">
        <v>44</v>
      </c>
      <c r="E183" t="s">
        <v>57</v>
      </c>
      <c r="F183" t="s">
        <v>37</v>
      </c>
      <c r="G183" t="s">
        <v>39</v>
      </c>
      <c r="H183" t="s">
        <v>40</v>
      </c>
      <c r="I183" t="s">
        <v>80</v>
      </c>
      <c r="J183" t="s">
        <v>80</v>
      </c>
      <c r="K183" t="s">
        <v>60</v>
      </c>
      <c r="L183">
        <v>113</v>
      </c>
      <c r="M183">
        <v>113</v>
      </c>
      <c r="N183">
        <v>0</v>
      </c>
      <c r="O183">
        <v>557</v>
      </c>
      <c r="P183">
        <v>3</v>
      </c>
      <c r="Q183">
        <v>13</v>
      </c>
      <c r="R183">
        <v>10</v>
      </c>
      <c r="S183">
        <v>816923</v>
      </c>
      <c r="T183">
        <v>804344</v>
      </c>
      <c r="U183" t="s">
        <v>75</v>
      </c>
      <c r="V183">
        <v>0</v>
      </c>
      <c r="W183">
        <v>0</v>
      </c>
      <c r="X183">
        <v>12579</v>
      </c>
      <c r="Y183">
        <v>1.6E-2</v>
      </c>
    </row>
    <row r="184" spans="1:25" x14ac:dyDescent="0.25">
      <c r="A184" t="s">
        <v>257</v>
      </c>
      <c r="B184">
        <v>46095</v>
      </c>
      <c r="C184">
        <v>46100</v>
      </c>
      <c r="D184" t="s">
        <v>57</v>
      </c>
      <c r="E184" t="s">
        <v>45</v>
      </c>
      <c r="F184" t="s">
        <v>53</v>
      </c>
      <c r="G184" t="s">
        <v>29</v>
      </c>
      <c r="H184" t="s">
        <v>29</v>
      </c>
      <c r="I184" t="s">
        <v>80</v>
      </c>
      <c r="J184" t="s">
        <v>80</v>
      </c>
      <c r="K184" t="s">
        <v>41</v>
      </c>
      <c r="L184">
        <v>29</v>
      </c>
      <c r="M184">
        <v>28</v>
      </c>
      <c r="N184">
        <v>1</v>
      </c>
      <c r="O184">
        <v>690</v>
      </c>
      <c r="P184">
        <v>4</v>
      </c>
      <c r="Q184">
        <v>5</v>
      </c>
      <c r="R184">
        <v>1</v>
      </c>
      <c r="S184">
        <v>586792</v>
      </c>
      <c r="T184">
        <v>561843</v>
      </c>
      <c r="U184" t="s">
        <v>33</v>
      </c>
      <c r="V184">
        <v>0</v>
      </c>
      <c r="W184">
        <v>3.4000000000000002E-2</v>
      </c>
      <c r="X184">
        <v>24949</v>
      </c>
      <c r="Y184">
        <v>4.3999999999999997E-2</v>
      </c>
    </row>
    <row r="185" spans="1:25" x14ac:dyDescent="0.25">
      <c r="A185" t="s">
        <v>258</v>
      </c>
      <c r="B185">
        <v>46220</v>
      </c>
      <c r="C185">
        <v>46225</v>
      </c>
      <c r="D185" t="s">
        <v>35</v>
      </c>
      <c r="E185" t="s">
        <v>27</v>
      </c>
      <c r="F185" t="s">
        <v>37</v>
      </c>
      <c r="G185" t="s">
        <v>64</v>
      </c>
      <c r="H185" t="s">
        <v>65</v>
      </c>
      <c r="I185" t="s">
        <v>80</v>
      </c>
      <c r="J185" t="s">
        <v>80</v>
      </c>
      <c r="K185" t="s">
        <v>41</v>
      </c>
      <c r="L185">
        <v>135</v>
      </c>
      <c r="M185">
        <v>132</v>
      </c>
      <c r="N185">
        <v>3</v>
      </c>
      <c r="O185">
        <v>612</v>
      </c>
      <c r="P185">
        <v>5</v>
      </c>
      <c r="Q185">
        <v>5</v>
      </c>
      <c r="R185">
        <v>0</v>
      </c>
      <c r="S185">
        <v>2107107</v>
      </c>
      <c r="T185">
        <v>1986135</v>
      </c>
      <c r="U185" t="s">
        <v>42</v>
      </c>
      <c r="V185">
        <v>1</v>
      </c>
      <c r="W185">
        <v>2.1999999999999999E-2</v>
      </c>
      <c r="X185">
        <v>120972</v>
      </c>
      <c r="Y185">
        <v>6.0999999999999999E-2</v>
      </c>
    </row>
    <row r="186" spans="1:25" x14ac:dyDescent="0.25">
      <c r="A186" t="s">
        <v>259</v>
      </c>
      <c r="B186">
        <v>46067</v>
      </c>
      <c r="C186">
        <v>46072</v>
      </c>
      <c r="D186" t="s">
        <v>35</v>
      </c>
      <c r="E186" t="s">
        <v>45</v>
      </c>
      <c r="F186" t="s">
        <v>63</v>
      </c>
      <c r="G186" t="s">
        <v>30</v>
      </c>
      <c r="H186" t="s">
        <v>31</v>
      </c>
      <c r="I186" t="s">
        <v>58</v>
      </c>
      <c r="J186" t="s">
        <v>59</v>
      </c>
      <c r="K186" t="s">
        <v>41</v>
      </c>
      <c r="L186">
        <v>79</v>
      </c>
      <c r="M186">
        <v>77</v>
      </c>
      <c r="N186">
        <v>2</v>
      </c>
      <c r="O186">
        <v>303</v>
      </c>
      <c r="P186">
        <v>5</v>
      </c>
      <c r="Q186">
        <v>5</v>
      </c>
      <c r="R186">
        <v>0</v>
      </c>
      <c r="S186">
        <v>1163970</v>
      </c>
      <c r="T186">
        <v>1242670</v>
      </c>
      <c r="U186" t="s">
        <v>42</v>
      </c>
      <c r="V186">
        <v>1</v>
      </c>
      <c r="W186">
        <v>2.5000000000000001E-2</v>
      </c>
      <c r="X186">
        <v>-78700</v>
      </c>
      <c r="Y186">
        <v>-6.3E-2</v>
      </c>
    </row>
    <row r="187" spans="1:25" x14ac:dyDescent="0.25">
      <c r="A187" t="s">
        <v>260</v>
      </c>
      <c r="B187">
        <v>46194</v>
      </c>
      <c r="C187">
        <v>46197</v>
      </c>
      <c r="D187" t="s">
        <v>77</v>
      </c>
      <c r="E187" t="s">
        <v>67</v>
      </c>
      <c r="F187" t="s">
        <v>46</v>
      </c>
      <c r="G187" t="s">
        <v>58</v>
      </c>
      <c r="H187" t="s">
        <v>59</v>
      </c>
      <c r="I187" t="s">
        <v>73</v>
      </c>
      <c r="J187" t="s">
        <v>74</v>
      </c>
      <c r="K187" t="s">
        <v>41</v>
      </c>
      <c r="L187">
        <v>152</v>
      </c>
      <c r="M187">
        <v>149</v>
      </c>
      <c r="N187">
        <v>3</v>
      </c>
      <c r="O187">
        <v>148</v>
      </c>
      <c r="P187">
        <v>1</v>
      </c>
      <c r="Q187">
        <v>3</v>
      </c>
      <c r="R187">
        <v>2</v>
      </c>
      <c r="S187">
        <v>1676496</v>
      </c>
      <c r="T187">
        <v>1636017</v>
      </c>
      <c r="U187" t="s">
        <v>33</v>
      </c>
      <c r="V187">
        <v>0</v>
      </c>
      <c r="W187">
        <v>0.02</v>
      </c>
      <c r="X187">
        <v>40479</v>
      </c>
      <c r="Y187">
        <v>2.5000000000000001E-2</v>
      </c>
    </row>
    <row r="188" spans="1:25" x14ac:dyDescent="0.25">
      <c r="A188" t="s">
        <v>261</v>
      </c>
      <c r="B188">
        <v>46169</v>
      </c>
      <c r="C188">
        <v>46171</v>
      </c>
      <c r="D188" t="s">
        <v>44</v>
      </c>
      <c r="E188" t="s">
        <v>36</v>
      </c>
      <c r="F188" t="s">
        <v>46</v>
      </c>
      <c r="G188" t="s">
        <v>47</v>
      </c>
      <c r="H188" t="s">
        <v>48</v>
      </c>
      <c r="I188" t="s">
        <v>91</v>
      </c>
      <c r="J188" t="s">
        <v>92</v>
      </c>
      <c r="K188" t="s">
        <v>41</v>
      </c>
      <c r="L188">
        <v>121</v>
      </c>
      <c r="M188">
        <v>118</v>
      </c>
      <c r="N188">
        <v>3</v>
      </c>
      <c r="O188">
        <v>326</v>
      </c>
      <c r="P188">
        <v>2</v>
      </c>
      <c r="Q188">
        <v>2</v>
      </c>
      <c r="R188">
        <v>0</v>
      </c>
      <c r="S188">
        <v>1629025</v>
      </c>
      <c r="T188">
        <v>1793102</v>
      </c>
      <c r="U188" t="s">
        <v>42</v>
      </c>
      <c r="V188">
        <v>1</v>
      </c>
      <c r="W188">
        <v>2.5000000000000001E-2</v>
      </c>
      <c r="X188">
        <v>-164077</v>
      </c>
      <c r="Y188">
        <v>-9.1999999999999998E-2</v>
      </c>
    </row>
    <row r="189" spans="1:25" x14ac:dyDescent="0.25">
      <c r="A189" t="s">
        <v>262</v>
      </c>
      <c r="B189">
        <v>46245</v>
      </c>
      <c r="C189">
        <v>46249</v>
      </c>
      <c r="D189" t="s">
        <v>57</v>
      </c>
      <c r="E189" t="s">
        <v>36</v>
      </c>
      <c r="F189" t="s">
        <v>37</v>
      </c>
      <c r="G189" t="s">
        <v>91</v>
      </c>
      <c r="H189" t="s">
        <v>92</v>
      </c>
      <c r="I189" t="s">
        <v>80</v>
      </c>
      <c r="J189" t="s">
        <v>80</v>
      </c>
      <c r="K189" t="s">
        <v>41</v>
      </c>
      <c r="L189">
        <v>124</v>
      </c>
      <c r="M189">
        <v>123</v>
      </c>
      <c r="N189">
        <v>1</v>
      </c>
      <c r="O189">
        <v>582</v>
      </c>
      <c r="P189">
        <v>4</v>
      </c>
      <c r="Q189">
        <v>4</v>
      </c>
      <c r="R189">
        <v>0</v>
      </c>
      <c r="S189">
        <v>1049390</v>
      </c>
      <c r="T189">
        <v>1146891</v>
      </c>
      <c r="U189" t="s">
        <v>42</v>
      </c>
      <c r="V189">
        <v>1</v>
      </c>
      <c r="W189">
        <v>8.0000000000000002E-3</v>
      </c>
      <c r="X189">
        <v>-97501</v>
      </c>
      <c r="Y189">
        <v>-8.5000000000000006E-2</v>
      </c>
    </row>
    <row r="190" spans="1:25" x14ac:dyDescent="0.25">
      <c r="A190" t="s">
        <v>263</v>
      </c>
      <c r="B190">
        <v>46051</v>
      </c>
      <c r="C190">
        <v>46054</v>
      </c>
      <c r="D190" t="s">
        <v>26</v>
      </c>
      <c r="E190" t="s">
        <v>57</v>
      </c>
      <c r="F190" t="s">
        <v>46</v>
      </c>
      <c r="G190" t="s">
        <v>30</v>
      </c>
      <c r="H190" t="s">
        <v>31</v>
      </c>
      <c r="I190" t="s">
        <v>72</v>
      </c>
      <c r="J190" t="s">
        <v>72</v>
      </c>
      <c r="K190" t="s">
        <v>60</v>
      </c>
      <c r="L190">
        <v>106</v>
      </c>
      <c r="M190">
        <v>103</v>
      </c>
      <c r="N190">
        <v>3</v>
      </c>
      <c r="O190">
        <v>751</v>
      </c>
      <c r="P190">
        <v>3</v>
      </c>
      <c r="Q190">
        <v>3</v>
      </c>
      <c r="R190">
        <v>0</v>
      </c>
      <c r="S190">
        <v>1417573</v>
      </c>
      <c r="T190">
        <v>1504807</v>
      </c>
      <c r="U190" t="s">
        <v>42</v>
      </c>
      <c r="V190">
        <v>1</v>
      </c>
      <c r="W190">
        <v>2.8000000000000001E-2</v>
      </c>
      <c r="X190">
        <v>-87234</v>
      </c>
      <c r="Y190">
        <v>-5.8000000000000003E-2</v>
      </c>
    </row>
    <row r="191" spans="1:25" x14ac:dyDescent="0.25">
      <c r="A191" t="s">
        <v>264</v>
      </c>
      <c r="B191">
        <v>46145</v>
      </c>
      <c r="C191">
        <v>46150</v>
      </c>
      <c r="D191" t="s">
        <v>26</v>
      </c>
      <c r="E191" t="s">
        <v>52</v>
      </c>
      <c r="F191" t="s">
        <v>46</v>
      </c>
      <c r="G191" t="s">
        <v>80</v>
      </c>
      <c r="H191" t="s">
        <v>80</v>
      </c>
      <c r="I191" t="s">
        <v>39</v>
      </c>
      <c r="J191" t="s">
        <v>40</v>
      </c>
      <c r="K191" t="s">
        <v>41</v>
      </c>
      <c r="L191">
        <v>146</v>
      </c>
      <c r="M191">
        <v>142</v>
      </c>
      <c r="N191">
        <v>4</v>
      </c>
      <c r="O191">
        <v>144</v>
      </c>
      <c r="P191">
        <v>4</v>
      </c>
      <c r="Q191">
        <v>5</v>
      </c>
      <c r="R191">
        <v>1</v>
      </c>
      <c r="S191">
        <v>877602</v>
      </c>
      <c r="T191">
        <v>902297</v>
      </c>
      <c r="U191" t="s">
        <v>33</v>
      </c>
      <c r="V191">
        <v>0</v>
      </c>
      <c r="W191">
        <v>2.7E-2</v>
      </c>
      <c r="X191">
        <v>-24695</v>
      </c>
      <c r="Y191">
        <v>-2.7E-2</v>
      </c>
    </row>
    <row r="192" spans="1:25" x14ac:dyDescent="0.25">
      <c r="A192" t="s">
        <v>265</v>
      </c>
      <c r="B192">
        <v>46115</v>
      </c>
      <c r="C192">
        <v>46120</v>
      </c>
      <c r="D192" t="s">
        <v>62</v>
      </c>
      <c r="E192" t="s">
        <v>103</v>
      </c>
      <c r="F192" t="s">
        <v>46</v>
      </c>
      <c r="G192" t="s">
        <v>38</v>
      </c>
      <c r="H192" t="s">
        <v>38</v>
      </c>
      <c r="I192" t="s">
        <v>30</v>
      </c>
      <c r="J192" t="s">
        <v>31</v>
      </c>
      <c r="K192" t="s">
        <v>60</v>
      </c>
      <c r="L192">
        <v>82</v>
      </c>
      <c r="M192">
        <v>82</v>
      </c>
      <c r="N192">
        <v>0</v>
      </c>
      <c r="O192">
        <v>246</v>
      </c>
      <c r="P192">
        <v>5</v>
      </c>
      <c r="Q192">
        <v>5</v>
      </c>
      <c r="R192">
        <v>0</v>
      </c>
      <c r="S192">
        <v>457150</v>
      </c>
      <c r="T192">
        <v>426474</v>
      </c>
      <c r="U192" t="s">
        <v>42</v>
      </c>
      <c r="V192">
        <v>1</v>
      </c>
      <c r="W192">
        <v>0</v>
      </c>
      <c r="X192">
        <v>30676</v>
      </c>
      <c r="Y192">
        <v>7.1999999999999995E-2</v>
      </c>
    </row>
    <row r="193" spans="1:25" x14ac:dyDescent="0.25">
      <c r="A193" t="s">
        <v>266</v>
      </c>
      <c r="B193">
        <v>46061</v>
      </c>
      <c r="C193">
        <v>46067</v>
      </c>
      <c r="D193" t="s">
        <v>62</v>
      </c>
      <c r="E193" t="s">
        <v>52</v>
      </c>
      <c r="F193" t="s">
        <v>63</v>
      </c>
      <c r="G193" t="s">
        <v>54</v>
      </c>
      <c r="H193" t="s">
        <v>55</v>
      </c>
      <c r="I193" t="s">
        <v>39</v>
      </c>
      <c r="J193" t="s">
        <v>40</v>
      </c>
      <c r="K193" t="s">
        <v>41</v>
      </c>
      <c r="L193">
        <v>153</v>
      </c>
      <c r="M193">
        <v>153</v>
      </c>
      <c r="N193">
        <v>0</v>
      </c>
      <c r="O193">
        <v>349</v>
      </c>
      <c r="P193">
        <v>3</v>
      </c>
      <c r="Q193">
        <v>6</v>
      </c>
      <c r="R193">
        <v>3</v>
      </c>
      <c r="S193">
        <v>2317217</v>
      </c>
      <c r="T193">
        <v>2409432</v>
      </c>
      <c r="U193" t="s">
        <v>33</v>
      </c>
      <c r="V193">
        <v>0</v>
      </c>
      <c r="W193">
        <v>0</v>
      </c>
      <c r="X193">
        <v>-92215</v>
      </c>
      <c r="Y193">
        <v>-3.7999999999999999E-2</v>
      </c>
    </row>
    <row r="194" spans="1:25" x14ac:dyDescent="0.25">
      <c r="A194" t="s">
        <v>267</v>
      </c>
      <c r="B194">
        <v>46061</v>
      </c>
      <c r="C194">
        <v>46070</v>
      </c>
      <c r="D194" t="s">
        <v>35</v>
      </c>
      <c r="E194" t="s">
        <v>36</v>
      </c>
      <c r="F194" t="s">
        <v>28</v>
      </c>
      <c r="G194" t="s">
        <v>64</v>
      </c>
      <c r="H194" t="s">
        <v>65</v>
      </c>
      <c r="I194" t="s">
        <v>30</v>
      </c>
      <c r="J194" t="s">
        <v>31</v>
      </c>
      <c r="K194" t="s">
        <v>32</v>
      </c>
      <c r="L194">
        <v>69</v>
      </c>
      <c r="M194">
        <v>68</v>
      </c>
      <c r="N194">
        <v>1</v>
      </c>
      <c r="O194">
        <v>32</v>
      </c>
      <c r="P194">
        <v>5</v>
      </c>
      <c r="Q194">
        <v>9</v>
      </c>
      <c r="R194">
        <v>4</v>
      </c>
      <c r="S194">
        <v>841536</v>
      </c>
      <c r="T194">
        <v>846657</v>
      </c>
      <c r="U194" t="s">
        <v>75</v>
      </c>
      <c r="V194">
        <v>0</v>
      </c>
      <c r="W194">
        <v>1.4E-2</v>
      </c>
      <c r="X194">
        <v>-5121</v>
      </c>
      <c r="Y194">
        <v>-6.0000000000000001E-3</v>
      </c>
    </row>
    <row r="195" spans="1:25" x14ac:dyDescent="0.25">
      <c r="A195" t="s">
        <v>268</v>
      </c>
      <c r="B195">
        <v>46176</v>
      </c>
      <c r="C195">
        <v>46181</v>
      </c>
      <c r="D195" t="s">
        <v>77</v>
      </c>
      <c r="E195" t="s">
        <v>45</v>
      </c>
      <c r="F195" t="s">
        <v>53</v>
      </c>
      <c r="G195" t="s">
        <v>30</v>
      </c>
      <c r="H195" t="s">
        <v>31</v>
      </c>
      <c r="I195" t="s">
        <v>68</v>
      </c>
      <c r="J195" t="s">
        <v>69</v>
      </c>
      <c r="K195" t="s">
        <v>41</v>
      </c>
      <c r="L195">
        <v>24</v>
      </c>
      <c r="M195">
        <v>24</v>
      </c>
      <c r="N195">
        <v>0</v>
      </c>
      <c r="O195">
        <v>529</v>
      </c>
      <c r="P195">
        <v>4</v>
      </c>
      <c r="Q195">
        <v>5</v>
      </c>
      <c r="R195">
        <v>1</v>
      </c>
      <c r="S195">
        <v>371272</v>
      </c>
      <c r="T195">
        <v>359200</v>
      </c>
      <c r="U195" t="s">
        <v>33</v>
      </c>
      <c r="V195">
        <v>0</v>
      </c>
      <c r="W195">
        <v>0</v>
      </c>
      <c r="X195">
        <v>12072</v>
      </c>
      <c r="Y195">
        <v>3.4000000000000002E-2</v>
      </c>
    </row>
    <row r="196" spans="1:25" x14ac:dyDescent="0.25">
      <c r="A196" t="s">
        <v>269</v>
      </c>
      <c r="B196">
        <v>46112</v>
      </c>
      <c r="C196">
        <v>46115</v>
      </c>
      <c r="D196" t="s">
        <v>77</v>
      </c>
      <c r="E196" t="s">
        <v>103</v>
      </c>
      <c r="F196" t="s">
        <v>28</v>
      </c>
      <c r="G196" t="s">
        <v>68</v>
      </c>
      <c r="H196" t="s">
        <v>69</v>
      </c>
      <c r="I196" t="s">
        <v>73</v>
      </c>
      <c r="J196" t="s">
        <v>74</v>
      </c>
      <c r="K196" t="s">
        <v>41</v>
      </c>
      <c r="L196">
        <v>95</v>
      </c>
      <c r="M196">
        <v>93</v>
      </c>
      <c r="N196">
        <v>2</v>
      </c>
      <c r="O196">
        <v>385</v>
      </c>
      <c r="P196">
        <v>3</v>
      </c>
      <c r="Q196">
        <v>3</v>
      </c>
      <c r="R196">
        <v>0</v>
      </c>
      <c r="S196">
        <v>1461065</v>
      </c>
      <c r="T196">
        <v>1529473</v>
      </c>
      <c r="U196" t="s">
        <v>42</v>
      </c>
      <c r="V196">
        <v>1</v>
      </c>
      <c r="W196">
        <v>2.1000000000000001E-2</v>
      </c>
      <c r="X196">
        <v>-68408</v>
      </c>
      <c r="Y196">
        <v>-4.4999999999999998E-2</v>
      </c>
    </row>
    <row r="197" spans="1:25" x14ac:dyDescent="0.25">
      <c r="A197" t="s">
        <v>270</v>
      </c>
      <c r="B197">
        <v>46237</v>
      </c>
      <c r="C197">
        <v>46247</v>
      </c>
      <c r="D197" t="s">
        <v>62</v>
      </c>
      <c r="E197" t="s">
        <v>45</v>
      </c>
      <c r="F197" t="s">
        <v>46</v>
      </c>
      <c r="G197" t="s">
        <v>80</v>
      </c>
      <c r="H197" t="s">
        <v>80</v>
      </c>
      <c r="I197" t="s">
        <v>38</v>
      </c>
      <c r="J197" t="s">
        <v>38</v>
      </c>
      <c r="K197" t="s">
        <v>41</v>
      </c>
      <c r="L197">
        <v>97</v>
      </c>
      <c r="M197">
        <v>96</v>
      </c>
      <c r="N197">
        <v>1</v>
      </c>
      <c r="O197">
        <v>645</v>
      </c>
      <c r="P197">
        <v>3</v>
      </c>
      <c r="Q197">
        <v>10</v>
      </c>
      <c r="R197">
        <v>7</v>
      </c>
      <c r="S197">
        <v>1033180</v>
      </c>
      <c r="T197">
        <v>991046</v>
      </c>
      <c r="U197" t="s">
        <v>75</v>
      </c>
      <c r="V197">
        <v>0</v>
      </c>
      <c r="W197">
        <v>0.01</v>
      </c>
      <c r="X197">
        <v>42134</v>
      </c>
      <c r="Y197">
        <v>4.2999999999999997E-2</v>
      </c>
    </row>
    <row r="198" spans="1:25" x14ac:dyDescent="0.25">
      <c r="A198" t="s">
        <v>271</v>
      </c>
      <c r="B198">
        <v>46075</v>
      </c>
      <c r="C198">
        <v>46076</v>
      </c>
      <c r="D198" t="s">
        <v>57</v>
      </c>
      <c r="E198" t="s">
        <v>103</v>
      </c>
      <c r="F198" t="s">
        <v>46</v>
      </c>
      <c r="G198" t="s">
        <v>68</v>
      </c>
      <c r="H198" t="s">
        <v>69</v>
      </c>
      <c r="I198" t="s">
        <v>91</v>
      </c>
      <c r="J198" t="s">
        <v>92</v>
      </c>
      <c r="K198" t="s">
        <v>41</v>
      </c>
      <c r="L198">
        <v>47</v>
      </c>
      <c r="M198">
        <v>46</v>
      </c>
      <c r="N198">
        <v>1</v>
      </c>
      <c r="O198">
        <v>428</v>
      </c>
      <c r="P198">
        <v>1</v>
      </c>
      <c r="Q198">
        <v>1</v>
      </c>
      <c r="R198">
        <v>0</v>
      </c>
      <c r="S198">
        <v>660745</v>
      </c>
      <c r="T198">
        <v>652665</v>
      </c>
      <c r="U198" t="s">
        <v>42</v>
      </c>
      <c r="V198">
        <v>1</v>
      </c>
      <c r="W198">
        <v>2.1000000000000001E-2</v>
      </c>
      <c r="X198">
        <v>8080</v>
      </c>
      <c r="Y198">
        <v>1.2E-2</v>
      </c>
    </row>
    <row r="199" spans="1:25" x14ac:dyDescent="0.25">
      <c r="A199" t="s">
        <v>272</v>
      </c>
      <c r="B199">
        <v>46063</v>
      </c>
      <c r="C199">
        <v>46069</v>
      </c>
      <c r="D199" t="s">
        <v>26</v>
      </c>
      <c r="E199" t="s">
        <v>36</v>
      </c>
      <c r="F199" t="s">
        <v>37</v>
      </c>
      <c r="G199" t="s">
        <v>64</v>
      </c>
      <c r="H199" t="s">
        <v>65</v>
      </c>
      <c r="I199" t="s">
        <v>38</v>
      </c>
      <c r="J199" t="s">
        <v>38</v>
      </c>
      <c r="K199" t="s">
        <v>32</v>
      </c>
      <c r="L199">
        <v>25</v>
      </c>
      <c r="M199">
        <v>24</v>
      </c>
      <c r="N199">
        <v>1</v>
      </c>
      <c r="O199">
        <v>843</v>
      </c>
      <c r="P199">
        <v>3</v>
      </c>
      <c r="Q199">
        <v>6</v>
      </c>
      <c r="R199">
        <v>3</v>
      </c>
      <c r="S199">
        <v>277220</v>
      </c>
      <c r="T199">
        <v>256687</v>
      </c>
      <c r="U199" t="s">
        <v>33</v>
      </c>
      <c r="V199">
        <v>0</v>
      </c>
      <c r="W199">
        <v>0.04</v>
      </c>
      <c r="X199">
        <v>20533</v>
      </c>
      <c r="Y199">
        <v>0.08</v>
      </c>
    </row>
    <row r="200" spans="1:25" x14ac:dyDescent="0.25">
      <c r="A200" t="s">
        <v>273</v>
      </c>
      <c r="B200">
        <v>46072</v>
      </c>
      <c r="C200">
        <v>46074</v>
      </c>
      <c r="D200" t="s">
        <v>44</v>
      </c>
      <c r="E200" t="s">
        <v>27</v>
      </c>
      <c r="F200" t="s">
        <v>46</v>
      </c>
      <c r="G200" t="s">
        <v>68</v>
      </c>
      <c r="H200" t="s">
        <v>69</v>
      </c>
      <c r="I200" t="s">
        <v>47</v>
      </c>
      <c r="J200" t="s">
        <v>48</v>
      </c>
      <c r="K200" t="s">
        <v>60</v>
      </c>
      <c r="L200">
        <v>23</v>
      </c>
      <c r="M200">
        <v>22</v>
      </c>
      <c r="N200">
        <v>1</v>
      </c>
      <c r="O200">
        <v>356</v>
      </c>
      <c r="P200">
        <v>2</v>
      </c>
      <c r="Q200">
        <v>2</v>
      </c>
      <c r="R200">
        <v>0</v>
      </c>
      <c r="S200">
        <v>336384</v>
      </c>
      <c r="T200">
        <v>350371</v>
      </c>
      <c r="U200" t="s">
        <v>42</v>
      </c>
      <c r="V200">
        <v>1</v>
      </c>
      <c r="W200">
        <v>4.2999999999999997E-2</v>
      </c>
      <c r="X200">
        <v>-13987</v>
      </c>
      <c r="Y200">
        <v>-0.04</v>
      </c>
    </row>
    <row r="201" spans="1:25" x14ac:dyDescent="0.25">
      <c r="A201" t="s">
        <v>274</v>
      </c>
      <c r="B201">
        <v>46113</v>
      </c>
      <c r="C201">
        <v>46121</v>
      </c>
      <c r="D201" t="s">
        <v>44</v>
      </c>
      <c r="E201" t="s">
        <v>27</v>
      </c>
      <c r="F201" t="s">
        <v>37</v>
      </c>
      <c r="G201" t="s">
        <v>80</v>
      </c>
      <c r="H201" t="s">
        <v>80</v>
      </c>
      <c r="I201" t="s">
        <v>54</v>
      </c>
      <c r="J201" t="s">
        <v>55</v>
      </c>
      <c r="K201" t="s">
        <v>41</v>
      </c>
      <c r="L201">
        <v>88</v>
      </c>
      <c r="M201">
        <v>87</v>
      </c>
      <c r="N201">
        <v>1</v>
      </c>
      <c r="O201">
        <v>682</v>
      </c>
      <c r="P201">
        <v>5</v>
      </c>
      <c r="Q201">
        <v>8</v>
      </c>
      <c r="R201">
        <v>3</v>
      </c>
      <c r="S201">
        <v>1073490</v>
      </c>
      <c r="T201">
        <v>1070020</v>
      </c>
      <c r="U201" t="s">
        <v>33</v>
      </c>
      <c r="V201">
        <v>0</v>
      </c>
      <c r="W201">
        <v>1.0999999999999999E-2</v>
      </c>
      <c r="X201">
        <v>3470</v>
      </c>
      <c r="Y201">
        <v>3.0000000000000001E-3</v>
      </c>
    </row>
    <row r="202" spans="1:25" x14ac:dyDescent="0.25">
      <c r="A202" t="s">
        <v>275</v>
      </c>
      <c r="B202">
        <v>46194</v>
      </c>
      <c r="C202">
        <v>46199</v>
      </c>
      <c r="D202" t="s">
        <v>57</v>
      </c>
      <c r="E202" t="s">
        <v>27</v>
      </c>
      <c r="F202" t="s">
        <v>28</v>
      </c>
      <c r="G202" t="s">
        <v>47</v>
      </c>
      <c r="H202" t="s">
        <v>48</v>
      </c>
      <c r="I202" t="s">
        <v>39</v>
      </c>
      <c r="J202" t="s">
        <v>40</v>
      </c>
      <c r="K202" t="s">
        <v>41</v>
      </c>
      <c r="L202">
        <v>126</v>
      </c>
      <c r="M202">
        <v>122</v>
      </c>
      <c r="N202">
        <v>4</v>
      </c>
      <c r="O202">
        <v>779</v>
      </c>
      <c r="P202">
        <v>5</v>
      </c>
      <c r="Q202">
        <v>5</v>
      </c>
      <c r="R202">
        <v>0</v>
      </c>
      <c r="S202">
        <v>1055462</v>
      </c>
      <c r="T202">
        <v>1169816</v>
      </c>
      <c r="U202" t="s">
        <v>42</v>
      </c>
      <c r="V202">
        <v>1</v>
      </c>
      <c r="W202">
        <v>3.2000000000000001E-2</v>
      </c>
      <c r="X202">
        <v>-114354</v>
      </c>
      <c r="Y202">
        <v>-9.8000000000000004E-2</v>
      </c>
    </row>
    <row r="203" spans="1:25" x14ac:dyDescent="0.25">
      <c r="A203" t="s">
        <v>276</v>
      </c>
      <c r="B203">
        <v>46077</v>
      </c>
      <c r="C203">
        <v>46084</v>
      </c>
      <c r="D203" t="s">
        <v>57</v>
      </c>
      <c r="E203" t="s">
        <v>85</v>
      </c>
      <c r="F203" t="s">
        <v>28</v>
      </c>
      <c r="G203" t="s">
        <v>54</v>
      </c>
      <c r="H203" t="s">
        <v>55</v>
      </c>
      <c r="I203" t="s">
        <v>58</v>
      </c>
      <c r="J203" t="s">
        <v>59</v>
      </c>
      <c r="K203" t="s">
        <v>41</v>
      </c>
      <c r="L203">
        <v>32</v>
      </c>
      <c r="M203">
        <v>31</v>
      </c>
      <c r="N203">
        <v>1</v>
      </c>
      <c r="O203">
        <v>795</v>
      </c>
      <c r="P203">
        <v>6</v>
      </c>
      <c r="Q203">
        <v>7</v>
      </c>
      <c r="R203">
        <v>1</v>
      </c>
      <c r="S203">
        <v>486640</v>
      </c>
      <c r="T203">
        <v>519827</v>
      </c>
      <c r="U203" t="s">
        <v>33</v>
      </c>
      <c r="V203">
        <v>0</v>
      </c>
      <c r="W203">
        <v>3.1E-2</v>
      </c>
      <c r="X203">
        <v>-33187</v>
      </c>
      <c r="Y203">
        <v>-6.4000000000000001E-2</v>
      </c>
    </row>
    <row r="204" spans="1:25" x14ac:dyDescent="0.25">
      <c r="A204" t="s">
        <v>277</v>
      </c>
      <c r="B204">
        <v>46038</v>
      </c>
      <c r="C204">
        <v>46042</v>
      </c>
      <c r="D204" t="s">
        <v>77</v>
      </c>
      <c r="E204" t="s">
        <v>27</v>
      </c>
      <c r="F204" t="s">
        <v>37</v>
      </c>
      <c r="G204" t="s">
        <v>72</v>
      </c>
      <c r="H204" t="s">
        <v>72</v>
      </c>
      <c r="I204" t="s">
        <v>64</v>
      </c>
      <c r="J204" t="s">
        <v>65</v>
      </c>
      <c r="K204" t="s">
        <v>32</v>
      </c>
      <c r="L204">
        <v>49</v>
      </c>
      <c r="M204">
        <v>47</v>
      </c>
      <c r="N204">
        <v>2</v>
      </c>
      <c r="O204">
        <v>381</v>
      </c>
      <c r="P204">
        <v>3</v>
      </c>
      <c r="Q204">
        <v>4</v>
      </c>
      <c r="R204">
        <v>1</v>
      </c>
      <c r="S204">
        <v>762863</v>
      </c>
      <c r="T204">
        <v>787067</v>
      </c>
      <c r="U204" t="s">
        <v>33</v>
      </c>
      <c r="V204">
        <v>0</v>
      </c>
      <c r="W204">
        <v>4.1000000000000002E-2</v>
      </c>
      <c r="X204">
        <v>-24204</v>
      </c>
      <c r="Y204">
        <v>-3.1E-2</v>
      </c>
    </row>
    <row r="205" spans="1:25" x14ac:dyDescent="0.25">
      <c r="A205" t="s">
        <v>278</v>
      </c>
      <c r="B205">
        <v>46125</v>
      </c>
      <c r="C205">
        <v>46127</v>
      </c>
      <c r="D205" t="s">
        <v>77</v>
      </c>
      <c r="E205" t="s">
        <v>45</v>
      </c>
      <c r="F205" t="s">
        <v>46</v>
      </c>
      <c r="G205" t="s">
        <v>58</v>
      </c>
      <c r="H205" t="s">
        <v>59</v>
      </c>
      <c r="I205" t="s">
        <v>30</v>
      </c>
      <c r="J205" t="s">
        <v>31</v>
      </c>
      <c r="K205" t="s">
        <v>32</v>
      </c>
      <c r="L205">
        <v>126</v>
      </c>
      <c r="M205">
        <v>125</v>
      </c>
      <c r="N205">
        <v>1</v>
      </c>
      <c r="O205">
        <v>54</v>
      </c>
      <c r="P205">
        <v>1</v>
      </c>
      <c r="Q205">
        <v>2</v>
      </c>
      <c r="R205">
        <v>1</v>
      </c>
      <c r="S205">
        <v>1005336</v>
      </c>
      <c r="T205">
        <v>1085437</v>
      </c>
      <c r="U205" t="s">
        <v>33</v>
      </c>
      <c r="V205">
        <v>0</v>
      </c>
      <c r="W205">
        <v>8.0000000000000002E-3</v>
      </c>
      <c r="X205">
        <v>-80101</v>
      </c>
      <c r="Y205">
        <v>-7.3999999999999996E-2</v>
      </c>
    </row>
    <row r="206" spans="1:25" x14ac:dyDescent="0.25">
      <c r="A206" t="s">
        <v>279</v>
      </c>
      <c r="B206">
        <v>46130</v>
      </c>
      <c r="C206">
        <v>46136</v>
      </c>
      <c r="D206" t="s">
        <v>77</v>
      </c>
      <c r="E206" t="s">
        <v>27</v>
      </c>
      <c r="F206" t="s">
        <v>46</v>
      </c>
      <c r="G206" t="s">
        <v>47</v>
      </c>
      <c r="H206" t="s">
        <v>48</v>
      </c>
      <c r="I206" t="s">
        <v>29</v>
      </c>
      <c r="J206" t="s">
        <v>29</v>
      </c>
      <c r="K206" t="s">
        <v>41</v>
      </c>
      <c r="L206">
        <v>61</v>
      </c>
      <c r="M206">
        <v>61</v>
      </c>
      <c r="N206">
        <v>0</v>
      </c>
      <c r="O206">
        <v>142</v>
      </c>
      <c r="P206">
        <v>6</v>
      </c>
      <c r="Q206">
        <v>6</v>
      </c>
      <c r="R206">
        <v>0</v>
      </c>
      <c r="S206">
        <v>449353</v>
      </c>
      <c r="T206">
        <v>475272</v>
      </c>
      <c r="U206" t="s">
        <v>42</v>
      </c>
      <c r="V206">
        <v>1</v>
      </c>
      <c r="W206">
        <v>0</v>
      </c>
      <c r="X206">
        <v>-25919</v>
      </c>
      <c r="Y206">
        <v>-5.5E-2</v>
      </c>
    </row>
    <row r="207" spans="1:25" x14ac:dyDescent="0.25">
      <c r="A207" t="s">
        <v>280</v>
      </c>
      <c r="B207">
        <v>46174</v>
      </c>
      <c r="C207">
        <v>46178</v>
      </c>
      <c r="D207" t="s">
        <v>62</v>
      </c>
      <c r="E207" t="s">
        <v>85</v>
      </c>
      <c r="F207" t="s">
        <v>28</v>
      </c>
      <c r="G207" t="s">
        <v>72</v>
      </c>
      <c r="H207" t="s">
        <v>72</v>
      </c>
      <c r="I207" t="s">
        <v>47</v>
      </c>
      <c r="J207" t="s">
        <v>48</v>
      </c>
      <c r="K207" t="s">
        <v>41</v>
      </c>
      <c r="L207">
        <v>150</v>
      </c>
      <c r="M207">
        <v>148</v>
      </c>
      <c r="N207">
        <v>2</v>
      </c>
      <c r="O207">
        <v>443</v>
      </c>
      <c r="P207">
        <v>3</v>
      </c>
      <c r="Q207">
        <v>4</v>
      </c>
      <c r="R207">
        <v>1</v>
      </c>
      <c r="S207">
        <v>1628725</v>
      </c>
      <c r="T207">
        <v>1692567</v>
      </c>
      <c r="U207" t="s">
        <v>33</v>
      </c>
      <c r="V207">
        <v>0</v>
      </c>
      <c r="W207">
        <v>1.2999999999999999E-2</v>
      </c>
      <c r="X207">
        <v>-63842</v>
      </c>
      <c r="Y207">
        <v>-3.7999999999999999E-2</v>
      </c>
    </row>
    <row r="208" spans="1:25" x14ac:dyDescent="0.25">
      <c r="A208" t="s">
        <v>281</v>
      </c>
      <c r="B208">
        <v>46230</v>
      </c>
      <c r="C208">
        <v>46234</v>
      </c>
      <c r="D208" t="s">
        <v>57</v>
      </c>
      <c r="E208" t="s">
        <v>103</v>
      </c>
      <c r="F208" t="s">
        <v>37</v>
      </c>
      <c r="G208" t="s">
        <v>30</v>
      </c>
      <c r="H208" t="s">
        <v>31</v>
      </c>
      <c r="I208" t="s">
        <v>38</v>
      </c>
      <c r="J208" t="s">
        <v>38</v>
      </c>
      <c r="K208" t="s">
        <v>41</v>
      </c>
      <c r="L208">
        <v>117</v>
      </c>
      <c r="M208">
        <v>114</v>
      </c>
      <c r="N208">
        <v>3</v>
      </c>
      <c r="O208">
        <v>458</v>
      </c>
      <c r="P208">
        <v>4</v>
      </c>
      <c r="Q208">
        <v>4</v>
      </c>
      <c r="R208">
        <v>0</v>
      </c>
      <c r="S208">
        <v>1601014</v>
      </c>
      <c r="T208">
        <v>1481750</v>
      </c>
      <c r="U208" t="s">
        <v>42</v>
      </c>
      <c r="V208">
        <v>1</v>
      </c>
      <c r="W208">
        <v>2.5999999999999999E-2</v>
      </c>
      <c r="X208">
        <v>119264</v>
      </c>
      <c r="Y208">
        <v>0.08</v>
      </c>
    </row>
    <row r="209" spans="1:25" x14ac:dyDescent="0.25">
      <c r="A209" t="s">
        <v>282</v>
      </c>
      <c r="B209">
        <v>46077</v>
      </c>
      <c r="C209">
        <v>46080</v>
      </c>
      <c r="D209" t="s">
        <v>62</v>
      </c>
      <c r="E209" t="s">
        <v>36</v>
      </c>
      <c r="F209" t="s">
        <v>53</v>
      </c>
      <c r="G209" t="s">
        <v>80</v>
      </c>
      <c r="H209" t="s">
        <v>80</v>
      </c>
      <c r="I209" t="s">
        <v>49</v>
      </c>
      <c r="J209" t="s">
        <v>50</v>
      </c>
      <c r="K209" t="s">
        <v>60</v>
      </c>
      <c r="L209">
        <v>147</v>
      </c>
      <c r="M209">
        <v>144</v>
      </c>
      <c r="N209">
        <v>3</v>
      </c>
      <c r="O209">
        <v>269</v>
      </c>
      <c r="P209">
        <v>1</v>
      </c>
      <c r="Q209">
        <v>3</v>
      </c>
      <c r="R209">
        <v>2</v>
      </c>
      <c r="S209">
        <v>1323722</v>
      </c>
      <c r="T209">
        <v>1248571</v>
      </c>
      <c r="U209" t="s">
        <v>33</v>
      </c>
      <c r="V209">
        <v>0</v>
      </c>
      <c r="W209">
        <v>0.02</v>
      </c>
      <c r="X209">
        <v>75151</v>
      </c>
      <c r="Y209">
        <v>0.06</v>
      </c>
    </row>
    <row r="210" spans="1:25" x14ac:dyDescent="0.25">
      <c r="A210" t="s">
        <v>283</v>
      </c>
      <c r="B210">
        <v>46227</v>
      </c>
      <c r="C210">
        <v>46234</v>
      </c>
      <c r="D210" t="s">
        <v>62</v>
      </c>
      <c r="E210" t="s">
        <v>36</v>
      </c>
      <c r="F210" t="s">
        <v>37</v>
      </c>
      <c r="G210" t="s">
        <v>58</v>
      </c>
      <c r="H210" t="s">
        <v>59</v>
      </c>
      <c r="I210" t="s">
        <v>39</v>
      </c>
      <c r="J210" t="s">
        <v>40</v>
      </c>
      <c r="K210" t="s">
        <v>41</v>
      </c>
      <c r="L210">
        <v>130</v>
      </c>
      <c r="M210">
        <v>123</v>
      </c>
      <c r="N210">
        <v>7</v>
      </c>
      <c r="O210">
        <v>524</v>
      </c>
      <c r="P210">
        <v>7</v>
      </c>
      <c r="Q210">
        <v>7</v>
      </c>
      <c r="R210">
        <v>0</v>
      </c>
      <c r="S210">
        <v>971872</v>
      </c>
      <c r="T210">
        <v>1082809</v>
      </c>
      <c r="U210" t="s">
        <v>42</v>
      </c>
      <c r="V210">
        <v>1</v>
      </c>
      <c r="W210">
        <v>5.3999999999999999E-2</v>
      </c>
      <c r="X210">
        <v>-110937</v>
      </c>
      <c r="Y210">
        <v>-0.10199999999999999</v>
      </c>
    </row>
    <row r="211" spans="1:25" x14ac:dyDescent="0.25">
      <c r="A211" t="s">
        <v>284</v>
      </c>
      <c r="B211">
        <v>46124</v>
      </c>
      <c r="C211">
        <v>46127</v>
      </c>
      <c r="D211" t="s">
        <v>35</v>
      </c>
      <c r="E211" t="s">
        <v>45</v>
      </c>
      <c r="F211" t="s">
        <v>63</v>
      </c>
      <c r="G211" t="s">
        <v>73</v>
      </c>
      <c r="H211" t="s">
        <v>74</v>
      </c>
      <c r="I211" t="s">
        <v>49</v>
      </c>
      <c r="J211" t="s">
        <v>50</v>
      </c>
      <c r="K211" t="s">
        <v>41</v>
      </c>
      <c r="L211">
        <v>89</v>
      </c>
      <c r="M211">
        <v>89</v>
      </c>
      <c r="N211">
        <v>0</v>
      </c>
      <c r="O211">
        <v>407</v>
      </c>
      <c r="P211">
        <v>3</v>
      </c>
      <c r="Q211">
        <v>3</v>
      </c>
      <c r="R211">
        <v>0</v>
      </c>
      <c r="S211">
        <v>1450815</v>
      </c>
      <c r="T211">
        <v>1575784</v>
      </c>
      <c r="U211" t="s">
        <v>42</v>
      </c>
      <c r="V211">
        <v>1</v>
      </c>
      <c r="W211">
        <v>0</v>
      </c>
      <c r="X211">
        <v>-124969</v>
      </c>
      <c r="Y211">
        <v>-7.9000000000000001E-2</v>
      </c>
    </row>
    <row r="212" spans="1:25" x14ac:dyDescent="0.25">
      <c r="A212" t="s">
        <v>285</v>
      </c>
      <c r="B212">
        <v>46137</v>
      </c>
      <c r="C212">
        <v>46142</v>
      </c>
      <c r="D212" t="s">
        <v>62</v>
      </c>
      <c r="E212" t="s">
        <v>85</v>
      </c>
      <c r="F212" t="s">
        <v>53</v>
      </c>
      <c r="G212" t="s">
        <v>73</v>
      </c>
      <c r="H212" t="s">
        <v>74</v>
      </c>
      <c r="I212" t="s">
        <v>68</v>
      </c>
      <c r="J212" t="s">
        <v>69</v>
      </c>
      <c r="K212" t="s">
        <v>41</v>
      </c>
      <c r="L212">
        <v>21</v>
      </c>
      <c r="M212">
        <v>20</v>
      </c>
      <c r="N212">
        <v>1</v>
      </c>
      <c r="O212">
        <v>123</v>
      </c>
      <c r="P212">
        <v>5</v>
      </c>
      <c r="Q212">
        <v>5</v>
      </c>
      <c r="R212">
        <v>0</v>
      </c>
      <c r="S212">
        <v>234936</v>
      </c>
      <c r="T212">
        <v>245433</v>
      </c>
      <c r="U212" t="s">
        <v>42</v>
      </c>
      <c r="V212">
        <v>1</v>
      </c>
      <c r="W212">
        <v>4.8000000000000001E-2</v>
      </c>
      <c r="X212">
        <v>-10497</v>
      </c>
      <c r="Y212">
        <v>-4.2999999999999997E-2</v>
      </c>
    </row>
    <row r="213" spans="1:25" x14ac:dyDescent="0.25">
      <c r="A213" t="s">
        <v>286</v>
      </c>
      <c r="B213">
        <v>46127</v>
      </c>
      <c r="C213">
        <v>46131</v>
      </c>
      <c r="D213" t="s">
        <v>77</v>
      </c>
      <c r="E213" t="s">
        <v>103</v>
      </c>
      <c r="F213" t="s">
        <v>63</v>
      </c>
      <c r="G213" t="s">
        <v>88</v>
      </c>
      <c r="H213" t="s">
        <v>89</v>
      </c>
      <c r="I213" t="s">
        <v>72</v>
      </c>
      <c r="J213" t="s">
        <v>72</v>
      </c>
      <c r="K213" t="s">
        <v>41</v>
      </c>
      <c r="L213">
        <v>68</v>
      </c>
      <c r="M213">
        <v>66</v>
      </c>
      <c r="N213">
        <v>2</v>
      </c>
      <c r="O213">
        <v>115</v>
      </c>
      <c r="P213">
        <v>4</v>
      </c>
      <c r="Q213">
        <v>4</v>
      </c>
      <c r="R213">
        <v>0</v>
      </c>
      <c r="S213">
        <v>441365</v>
      </c>
      <c r="T213">
        <v>469801</v>
      </c>
      <c r="U213" t="s">
        <v>42</v>
      </c>
      <c r="V213">
        <v>1</v>
      </c>
      <c r="W213">
        <v>2.9000000000000001E-2</v>
      </c>
      <c r="X213">
        <v>-28436</v>
      </c>
      <c r="Y213">
        <v>-6.0999999999999999E-2</v>
      </c>
    </row>
    <row r="214" spans="1:25" x14ac:dyDescent="0.25">
      <c r="A214" t="s">
        <v>287</v>
      </c>
      <c r="B214">
        <v>46257</v>
      </c>
      <c r="C214">
        <v>46262</v>
      </c>
      <c r="D214" t="s">
        <v>44</v>
      </c>
      <c r="E214" t="s">
        <v>45</v>
      </c>
      <c r="F214" t="s">
        <v>37</v>
      </c>
      <c r="G214" t="s">
        <v>91</v>
      </c>
      <c r="H214" t="s">
        <v>92</v>
      </c>
      <c r="I214" t="s">
        <v>80</v>
      </c>
      <c r="J214" t="s">
        <v>80</v>
      </c>
      <c r="K214" t="s">
        <v>41</v>
      </c>
      <c r="L214">
        <v>24</v>
      </c>
      <c r="M214">
        <v>23</v>
      </c>
      <c r="N214">
        <v>1</v>
      </c>
      <c r="O214">
        <v>582</v>
      </c>
      <c r="P214">
        <v>2</v>
      </c>
      <c r="Q214">
        <v>5</v>
      </c>
      <c r="R214">
        <v>3</v>
      </c>
      <c r="S214">
        <v>301440</v>
      </c>
      <c r="T214">
        <v>308246</v>
      </c>
      <c r="U214" t="s">
        <v>33</v>
      </c>
      <c r="V214">
        <v>0</v>
      </c>
      <c r="W214">
        <v>4.2000000000000003E-2</v>
      </c>
      <c r="X214">
        <v>-6806</v>
      </c>
      <c r="Y214">
        <v>-2.1999999999999999E-2</v>
      </c>
    </row>
    <row r="215" spans="1:25" x14ac:dyDescent="0.25">
      <c r="A215" t="s">
        <v>288</v>
      </c>
      <c r="B215">
        <v>46242</v>
      </c>
      <c r="C215">
        <v>46246</v>
      </c>
      <c r="D215" t="s">
        <v>62</v>
      </c>
      <c r="E215" t="s">
        <v>36</v>
      </c>
      <c r="F215" t="s">
        <v>46</v>
      </c>
      <c r="G215" t="s">
        <v>72</v>
      </c>
      <c r="H215" t="s">
        <v>72</v>
      </c>
      <c r="I215" t="s">
        <v>54</v>
      </c>
      <c r="J215" t="s">
        <v>55</v>
      </c>
      <c r="K215" t="s">
        <v>41</v>
      </c>
      <c r="L215">
        <v>86</v>
      </c>
      <c r="M215">
        <v>85</v>
      </c>
      <c r="N215">
        <v>1</v>
      </c>
      <c r="O215">
        <v>628</v>
      </c>
      <c r="P215">
        <v>3</v>
      </c>
      <c r="Q215">
        <v>4</v>
      </c>
      <c r="R215">
        <v>1</v>
      </c>
      <c r="S215">
        <v>759892</v>
      </c>
      <c r="T215">
        <v>815292</v>
      </c>
      <c r="U215" t="s">
        <v>33</v>
      </c>
      <c r="V215">
        <v>0</v>
      </c>
      <c r="W215">
        <v>1.2E-2</v>
      </c>
      <c r="X215">
        <v>-55400</v>
      </c>
      <c r="Y215">
        <v>-6.8000000000000005E-2</v>
      </c>
    </row>
    <row r="216" spans="1:25" x14ac:dyDescent="0.25">
      <c r="A216" t="s">
        <v>289</v>
      </c>
      <c r="B216">
        <v>46199</v>
      </c>
      <c r="C216">
        <v>46206</v>
      </c>
      <c r="D216" t="s">
        <v>26</v>
      </c>
      <c r="E216" t="s">
        <v>27</v>
      </c>
      <c r="F216" t="s">
        <v>37</v>
      </c>
      <c r="G216" t="s">
        <v>38</v>
      </c>
      <c r="H216" t="s">
        <v>38</v>
      </c>
      <c r="I216" t="s">
        <v>30</v>
      </c>
      <c r="J216" t="s">
        <v>31</v>
      </c>
      <c r="K216" t="s">
        <v>32</v>
      </c>
      <c r="L216">
        <v>100</v>
      </c>
      <c r="M216">
        <v>97</v>
      </c>
      <c r="N216">
        <v>3</v>
      </c>
      <c r="O216">
        <v>171</v>
      </c>
      <c r="P216">
        <v>3</v>
      </c>
      <c r="Q216">
        <v>7</v>
      </c>
      <c r="R216">
        <v>4</v>
      </c>
      <c r="S216">
        <v>1299953</v>
      </c>
      <c r="T216">
        <v>1262526</v>
      </c>
      <c r="U216" t="s">
        <v>75</v>
      </c>
      <c r="V216">
        <v>0</v>
      </c>
      <c r="W216">
        <v>0.03</v>
      </c>
      <c r="X216">
        <v>37427</v>
      </c>
      <c r="Y216">
        <v>0.03</v>
      </c>
    </row>
    <row r="217" spans="1:25" x14ac:dyDescent="0.25">
      <c r="A217" t="s">
        <v>290</v>
      </c>
      <c r="B217">
        <v>46164</v>
      </c>
      <c r="C217">
        <v>46166</v>
      </c>
      <c r="D217" t="s">
        <v>57</v>
      </c>
      <c r="E217" t="s">
        <v>67</v>
      </c>
      <c r="F217" t="s">
        <v>28</v>
      </c>
      <c r="G217" t="s">
        <v>73</v>
      </c>
      <c r="H217" t="s">
        <v>74</v>
      </c>
      <c r="I217" t="s">
        <v>91</v>
      </c>
      <c r="J217" t="s">
        <v>92</v>
      </c>
      <c r="K217" t="s">
        <v>41</v>
      </c>
      <c r="L217">
        <v>156</v>
      </c>
      <c r="M217">
        <v>155</v>
      </c>
      <c r="N217">
        <v>1</v>
      </c>
      <c r="O217">
        <v>571</v>
      </c>
      <c r="P217">
        <v>2</v>
      </c>
      <c r="Q217">
        <v>2</v>
      </c>
      <c r="R217">
        <v>0</v>
      </c>
      <c r="S217">
        <v>1058805</v>
      </c>
      <c r="T217">
        <v>1176850</v>
      </c>
      <c r="U217" t="s">
        <v>42</v>
      </c>
      <c r="V217">
        <v>1</v>
      </c>
      <c r="W217">
        <v>6.0000000000000001E-3</v>
      </c>
      <c r="X217">
        <v>-118045</v>
      </c>
      <c r="Y217">
        <v>-0.1</v>
      </c>
    </row>
    <row r="218" spans="1:25" x14ac:dyDescent="0.25">
      <c r="A218" t="s">
        <v>291</v>
      </c>
      <c r="B218">
        <v>46097</v>
      </c>
      <c r="C218">
        <v>46098</v>
      </c>
      <c r="D218" t="s">
        <v>57</v>
      </c>
      <c r="E218" t="s">
        <v>67</v>
      </c>
      <c r="F218" t="s">
        <v>46</v>
      </c>
      <c r="G218" t="s">
        <v>72</v>
      </c>
      <c r="H218" t="s">
        <v>72</v>
      </c>
      <c r="I218" t="s">
        <v>38</v>
      </c>
      <c r="J218" t="s">
        <v>38</v>
      </c>
      <c r="K218" t="s">
        <v>32</v>
      </c>
      <c r="L218">
        <v>40</v>
      </c>
      <c r="M218">
        <v>39</v>
      </c>
      <c r="N218">
        <v>1</v>
      </c>
      <c r="O218">
        <v>49</v>
      </c>
      <c r="P218">
        <v>1</v>
      </c>
      <c r="Q218">
        <v>1</v>
      </c>
      <c r="R218">
        <v>0</v>
      </c>
      <c r="S218">
        <v>577910</v>
      </c>
      <c r="T218">
        <v>539655</v>
      </c>
      <c r="U218" t="s">
        <v>42</v>
      </c>
      <c r="V218">
        <v>1</v>
      </c>
      <c r="W218">
        <v>2.5000000000000001E-2</v>
      </c>
      <c r="X218">
        <v>38255</v>
      </c>
      <c r="Y218">
        <v>7.0999999999999994E-2</v>
      </c>
    </row>
    <row r="219" spans="1:25" x14ac:dyDescent="0.25">
      <c r="A219" t="s">
        <v>292</v>
      </c>
      <c r="B219">
        <v>46232</v>
      </c>
      <c r="C219">
        <v>46235</v>
      </c>
      <c r="D219" t="s">
        <v>62</v>
      </c>
      <c r="E219" t="s">
        <v>85</v>
      </c>
      <c r="F219" t="s">
        <v>28</v>
      </c>
      <c r="G219" t="s">
        <v>58</v>
      </c>
      <c r="H219" t="s">
        <v>59</v>
      </c>
      <c r="I219" t="s">
        <v>54</v>
      </c>
      <c r="J219" t="s">
        <v>55</v>
      </c>
      <c r="K219" t="s">
        <v>32</v>
      </c>
      <c r="L219">
        <v>106</v>
      </c>
      <c r="M219">
        <v>103</v>
      </c>
      <c r="N219">
        <v>3</v>
      </c>
      <c r="O219">
        <v>99</v>
      </c>
      <c r="P219">
        <v>3</v>
      </c>
      <c r="Q219">
        <v>3</v>
      </c>
      <c r="R219">
        <v>0</v>
      </c>
      <c r="S219">
        <v>862035</v>
      </c>
      <c r="T219">
        <v>812209</v>
      </c>
      <c r="U219" t="s">
        <v>42</v>
      </c>
      <c r="V219">
        <v>1</v>
      </c>
      <c r="W219">
        <v>2.8000000000000001E-2</v>
      </c>
      <c r="X219">
        <v>49826</v>
      </c>
      <c r="Y219">
        <v>6.0999999999999999E-2</v>
      </c>
    </row>
    <row r="220" spans="1:25" x14ac:dyDescent="0.25">
      <c r="A220" t="s">
        <v>293</v>
      </c>
      <c r="B220">
        <v>46149</v>
      </c>
      <c r="C220">
        <v>46157</v>
      </c>
      <c r="D220" t="s">
        <v>57</v>
      </c>
      <c r="E220" t="s">
        <v>85</v>
      </c>
      <c r="F220" t="s">
        <v>37</v>
      </c>
      <c r="G220" t="s">
        <v>68</v>
      </c>
      <c r="H220" t="s">
        <v>69</v>
      </c>
      <c r="I220" t="s">
        <v>73</v>
      </c>
      <c r="J220" t="s">
        <v>74</v>
      </c>
      <c r="K220" t="s">
        <v>41</v>
      </c>
      <c r="L220">
        <v>149</v>
      </c>
      <c r="M220">
        <v>149</v>
      </c>
      <c r="N220">
        <v>0</v>
      </c>
      <c r="O220">
        <v>399</v>
      </c>
      <c r="P220">
        <v>6</v>
      </c>
      <c r="Q220">
        <v>8</v>
      </c>
      <c r="R220">
        <v>2</v>
      </c>
      <c r="S220">
        <v>2060608</v>
      </c>
      <c r="T220">
        <v>2187164</v>
      </c>
      <c r="U220" t="s">
        <v>33</v>
      </c>
      <c r="V220">
        <v>0</v>
      </c>
      <c r="W220">
        <v>0</v>
      </c>
      <c r="X220">
        <v>-126556</v>
      </c>
      <c r="Y220">
        <v>-5.8000000000000003E-2</v>
      </c>
    </row>
    <row r="221" spans="1:25" x14ac:dyDescent="0.25">
      <c r="A221" t="s">
        <v>294</v>
      </c>
      <c r="B221">
        <v>46257</v>
      </c>
      <c r="C221">
        <v>46261</v>
      </c>
      <c r="D221" t="s">
        <v>35</v>
      </c>
      <c r="E221" t="s">
        <v>57</v>
      </c>
      <c r="F221" t="s">
        <v>28</v>
      </c>
      <c r="G221" t="s">
        <v>91</v>
      </c>
      <c r="H221" t="s">
        <v>92</v>
      </c>
      <c r="I221" t="s">
        <v>68</v>
      </c>
      <c r="J221" t="s">
        <v>69</v>
      </c>
      <c r="K221" t="s">
        <v>32</v>
      </c>
      <c r="L221">
        <v>17</v>
      </c>
      <c r="M221">
        <v>17</v>
      </c>
      <c r="N221">
        <v>0</v>
      </c>
      <c r="O221">
        <v>557</v>
      </c>
      <c r="P221">
        <v>4</v>
      </c>
      <c r="Q221">
        <v>4</v>
      </c>
      <c r="R221">
        <v>0</v>
      </c>
      <c r="S221">
        <v>317704</v>
      </c>
      <c r="T221">
        <v>318728</v>
      </c>
      <c r="U221" t="s">
        <v>42</v>
      </c>
      <c r="V221">
        <v>1</v>
      </c>
      <c r="W221">
        <v>0</v>
      </c>
      <c r="X221">
        <v>-1024</v>
      </c>
      <c r="Y221">
        <v>-3.0000000000000001E-3</v>
      </c>
    </row>
    <row r="222" spans="1:25" x14ac:dyDescent="0.25">
      <c r="A222" t="s">
        <v>295</v>
      </c>
      <c r="B222">
        <v>46226</v>
      </c>
      <c r="C222">
        <v>46231</v>
      </c>
      <c r="D222" t="s">
        <v>62</v>
      </c>
      <c r="E222" t="s">
        <v>36</v>
      </c>
      <c r="F222" t="s">
        <v>28</v>
      </c>
      <c r="G222" t="s">
        <v>49</v>
      </c>
      <c r="H222" t="s">
        <v>50</v>
      </c>
      <c r="I222" t="s">
        <v>30</v>
      </c>
      <c r="J222" t="s">
        <v>31</v>
      </c>
      <c r="K222" t="s">
        <v>41</v>
      </c>
      <c r="L222">
        <v>118</v>
      </c>
      <c r="M222">
        <v>116</v>
      </c>
      <c r="N222">
        <v>2</v>
      </c>
      <c r="O222">
        <v>38</v>
      </c>
      <c r="P222">
        <v>4</v>
      </c>
      <c r="Q222">
        <v>5</v>
      </c>
      <c r="R222">
        <v>1</v>
      </c>
      <c r="S222">
        <v>1324060</v>
      </c>
      <c r="T222">
        <v>1435952</v>
      </c>
      <c r="U222" t="s">
        <v>33</v>
      </c>
      <c r="V222">
        <v>0</v>
      </c>
      <c r="W222">
        <v>1.7000000000000001E-2</v>
      </c>
      <c r="X222">
        <v>-111892</v>
      </c>
      <c r="Y222">
        <v>-7.8E-2</v>
      </c>
    </row>
    <row r="223" spans="1:25" x14ac:dyDescent="0.25">
      <c r="A223" t="s">
        <v>296</v>
      </c>
      <c r="B223">
        <v>46185</v>
      </c>
      <c r="C223">
        <v>46188</v>
      </c>
      <c r="D223" t="s">
        <v>35</v>
      </c>
      <c r="E223" t="s">
        <v>67</v>
      </c>
      <c r="F223" t="s">
        <v>63</v>
      </c>
      <c r="G223" t="s">
        <v>39</v>
      </c>
      <c r="H223" t="s">
        <v>40</v>
      </c>
      <c r="I223" t="s">
        <v>29</v>
      </c>
      <c r="J223" t="s">
        <v>29</v>
      </c>
      <c r="K223" t="s">
        <v>41</v>
      </c>
      <c r="L223">
        <v>102</v>
      </c>
      <c r="M223">
        <v>98</v>
      </c>
      <c r="N223">
        <v>4</v>
      </c>
      <c r="O223">
        <v>663</v>
      </c>
      <c r="P223">
        <v>3</v>
      </c>
      <c r="Q223">
        <v>3</v>
      </c>
      <c r="R223">
        <v>0</v>
      </c>
      <c r="S223">
        <v>1408671</v>
      </c>
      <c r="T223">
        <v>1409360</v>
      </c>
      <c r="U223" t="s">
        <v>42</v>
      </c>
      <c r="V223">
        <v>1</v>
      </c>
      <c r="W223">
        <v>3.9E-2</v>
      </c>
      <c r="X223">
        <v>-689</v>
      </c>
      <c r="Y223">
        <v>0</v>
      </c>
    </row>
    <row r="224" spans="1:25" x14ac:dyDescent="0.25">
      <c r="A224" t="s">
        <v>297</v>
      </c>
      <c r="B224">
        <v>46122</v>
      </c>
      <c r="C224">
        <v>46130</v>
      </c>
      <c r="D224" t="s">
        <v>35</v>
      </c>
      <c r="E224" t="s">
        <v>36</v>
      </c>
      <c r="F224" t="s">
        <v>37</v>
      </c>
      <c r="G224" t="s">
        <v>49</v>
      </c>
      <c r="H224" t="s">
        <v>50</v>
      </c>
      <c r="I224" t="s">
        <v>58</v>
      </c>
      <c r="J224" t="s">
        <v>59</v>
      </c>
      <c r="K224" t="s">
        <v>41</v>
      </c>
      <c r="L224">
        <v>92</v>
      </c>
      <c r="M224">
        <v>91</v>
      </c>
      <c r="N224">
        <v>1</v>
      </c>
      <c r="O224">
        <v>842</v>
      </c>
      <c r="P224">
        <v>4</v>
      </c>
      <c r="Q224">
        <v>8</v>
      </c>
      <c r="R224">
        <v>4</v>
      </c>
      <c r="S224">
        <v>1424990</v>
      </c>
      <c r="T224">
        <v>1381335</v>
      </c>
      <c r="U224" t="s">
        <v>75</v>
      </c>
      <c r="V224">
        <v>0</v>
      </c>
      <c r="W224">
        <v>1.0999999999999999E-2</v>
      </c>
      <c r="X224">
        <v>43655</v>
      </c>
      <c r="Y224">
        <v>3.2000000000000001E-2</v>
      </c>
    </row>
    <row r="225" spans="1:25" x14ac:dyDescent="0.25">
      <c r="A225" t="s">
        <v>298</v>
      </c>
      <c r="B225">
        <v>46188</v>
      </c>
      <c r="C225">
        <v>46194</v>
      </c>
      <c r="D225" t="s">
        <v>57</v>
      </c>
      <c r="E225" t="s">
        <v>27</v>
      </c>
      <c r="F225" t="s">
        <v>46</v>
      </c>
      <c r="G225" t="s">
        <v>64</v>
      </c>
      <c r="H225" t="s">
        <v>65</v>
      </c>
      <c r="I225" t="s">
        <v>80</v>
      </c>
      <c r="J225" t="s">
        <v>80</v>
      </c>
      <c r="K225" t="s">
        <v>60</v>
      </c>
      <c r="L225">
        <v>147</v>
      </c>
      <c r="M225">
        <v>142</v>
      </c>
      <c r="N225">
        <v>5</v>
      </c>
      <c r="O225">
        <v>843</v>
      </c>
      <c r="P225">
        <v>3</v>
      </c>
      <c r="Q225">
        <v>6</v>
      </c>
      <c r="R225">
        <v>3</v>
      </c>
      <c r="S225">
        <v>2303124</v>
      </c>
      <c r="T225">
        <v>2292674</v>
      </c>
      <c r="U225" t="s">
        <v>33</v>
      </c>
      <c r="V225">
        <v>0</v>
      </c>
      <c r="W225">
        <v>3.4000000000000002E-2</v>
      </c>
      <c r="X225">
        <v>10450</v>
      </c>
      <c r="Y225">
        <v>5.0000000000000001E-3</v>
      </c>
    </row>
    <row r="226" spans="1:25" x14ac:dyDescent="0.25">
      <c r="A226" t="s">
        <v>299</v>
      </c>
      <c r="B226">
        <v>46244</v>
      </c>
      <c r="C226">
        <v>46253</v>
      </c>
      <c r="D226" t="s">
        <v>77</v>
      </c>
      <c r="E226" t="s">
        <v>57</v>
      </c>
      <c r="F226" t="s">
        <v>46</v>
      </c>
      <c r="G226" t="s">
        <v>49</v>
      </c>
      <c r="H226" t="s">
        <v>50</v>
      </c>
      <c r="I226" t="s">
        <v>29</v>
      </c>
      <c r="J226" t="s">
        <v>29</v>
      </c>
      <c r="K226" t="s">
        <v>41</v>
      </c>
      <c r="L226">
        <v>124</v>
      </c>
      <c r="M226">
        <v>123</v>
      </c>
      <c r="N226">
        <v>1</v>
      </c>
      <c r="O226">
        <v>199</v>
      </c>
      <c r="P226">
        <v>4</v>
      </c>
      <c r="Q226">
        <v>9</v>
      </c>
      <c r="R226">
        <v>5</v>
      </c>
      <c r="S226">
        <v>1138950</v>
      </c>
      <c r="T226">
        <v>1247266</v>
      </c>
      <c r="U226" t="s">
        <v>75</v>
      </c>
      <c r="V226">
        <v>0</v>
      </c>
      <c r="W226">
        <v>8.0000000000000002E-3</v>
      </c>
      <c r="X226">
        <v>-108316</v>
      </c>
      <c r="Y226">
        <v>-8.6999999999999994E-2</v>
      </c>
    </row>
    <row r="227" spans="1:25" x14ac:dyDescent="0.25">
      <c r="A227" t="s">
        <v>300</v>
      </c>
      <c r="B227">
        <v>46047</v>
      </c>
      <c r="C227">
        <v>46052</v>
      </c>
      <c r="D227" t="s">
        <v>57</v>
      </c>
      <c r="E227" t="s">
        <v>57</v>
      </c>
      <c r="F227" t="s">
        <v>28</v>
      </c>
      <c r="G227" t="s">
        <v>54</v>
      </c>
      <c r="H227" t="s">
        <v>55</v>
      </c>
      <c r="I227" t="s">
        <v>64</v>
      </c>
      <c r="J227" t="s">
        <v>65</v>
      </c>
      <c r="K227" t="s">
        <v>32</v>
      </c>
      <c r="L227">
        <v>41</v>
      </c>
      <c r="M227">
        <v>41</v>
      </c>
      <c r="N227">
        <v>0</v>
      </c>
      <c r="O227">
        <v>834</v>
      </c>
      <c r="P227">
        <v>4</v>
      </c>
      <c r="Q227">
        <v>5</v>
      </c>
      <c r="R227">
        <v>1</v>
      </c>
      <c r="S227">
        <v>608386</v>
      </c>
      <c r="T227">
        <v>606575</v>
      </c>
      <c r="U227" t="s">
        <v>33</v>
      </c>
      <c r="V227">
        <v>0</v>
      </c>
      <c r="W227">
        <v>0</v>
      </c>
      <c r="X227">
        <v>1811</v>
      </c>
      <c r="Y227">
        <v>3.0000000000000001E-3</v>
      </c>
    </row>
    <row r="228" spans="1:25" x14ac:dyDescent="0.25">
      <c r="A228" t="s">
        <v>301</v>
      </c>
      <c r="B228">
        <v>46262</v>
      </c>
      <c r="C228">
        <v>46267</v>
      </c>
      <c r="D228" t="s">
        <v>26</v>
      </c>
      <c r="E228" t="s">
        <v>52</v>
      </c>
      <c r="F228" t="s">
        <v>53</v>
      </c>
      <c r="G228" t="s">
        <v>54</v>
      </c>
      <c r="H228" t="s">
        <v>55</v>
      </c>
      <c r="I228" t="s">
        <v>73</v>
      </c>
      <c r="J228" t="s">
        <v>74</v>
      </c>
      <c r="K228" t="s">
        <v>41</v>
      </c>
      <c r="L228">
        <v>17</v>
      </c>
      <c r="M228">
        <v>17</v>
      </c>
      <c r="N228">
        <v>0</v>
      </c>
      <c r="O228">
        <v>234</v>
      </c>
      <c r="P228">
        <v>1</v>
      </c>
      <c r="Q228">
        <v>5</v>
      </c>
      <c r="R228">
        <v>4</v>
      </c>
      <c r="S228">
        <v>280762</v>
      </c>
      <c r="T228">
        <v>306050</v>
      </c>
      <c r="U228" t="s">
        <v>75</v>
      </c>
      <c r="V228">
        <v>0</v>
      </c>
      <c r="W228">
        <v>0</v>
      </c>
      <c r="X228">
        <v>-25288</v>
      </c>
      <c r="Y228">
        <v>-8.3000000000000004E-2</v>
      </c>
    </row>
    <row r="229" spans="1:25" x14ac:dyDescent="0.25">
      <c r="A229" t="s">
        <v>302</v>
      </c>
      <c r="B229">
        <v>46199</v>
      </c>
      <c r="C229">
        <v>46200</v>
      </c>
      <c r="D229" t="s">
        <v>77</v>
      </c>
      <c r="E229" t="s">
        <v>85</v>
      </c>
      <c r="F229" t="s">
        <v>46</v>
      </c>
      <c r="G229" t="s">
        <v>68</v>
      </c>
      <c r="H229" t="s">
        <v>69</v>
      </c>
      <c r="I229" t="s">
        <v>29</v>
      </c>
      <c r="J229" t="s">
        <v>29</v>
      </c>
      <c r="K229" t="s">
        <v>41</v>
      </c>
      <c r="L229">
        <v>12</v>
      </c>
      <c r="M229">
        <v>12</v>
      </c>
      <c r="N229">
        <v>0</v>
      </c>
      <c r="O229">
        <v>287</v>
      </c>
      <c r="P229">
        <v>1</v>
      </c>
      <c r="Q229">
        <v>1</v>
      </c>
      <c r="R229">
        <v>0</v>
      </c>
      <c r="S229">
        <v>190839</v>
      </c>
      <c r="T229">
        <v>212769</v>
      </c>
      <c r="U229" t="s">
        <v>42</v>
      </c>
      <c r="V229">
        <v>1</v>
      </c>
      <c r="W229">
        <v>0</v>
      </c>
      <c r="X229">
        <v>-21930</v>
      </c>
      <c r="Y229">
        <v>-0.10299999999999999</v>
      </c>
    </row>
    <row r="230" spans="1:25" x14ac:dyDescent="0.25">
      <c r="A230" t="s">
        <v>303</v>
      </c>
      <c r="B230">
        <v>46261</v>
      </c>
      <c r="C230">
        <v>46264</v>
      </c>
      <c r="D230" t="s">
        <v>77</v>
      </c>
      <c r="E230" t="s">
        <v>103</v>
      </c>
      <c r="F230" t="s">
        <v>28</v>
      </c>
      <c r="G230" t="s">
        <v>30</v>
      </c>
      <c r="H230" t="s">
        <v>31</v>
      </c>
      <c r="I230" t="s">
        <v>88</v>
      </c>
      <c r="J230" t="s">
        <v>89</v>
      </c>
      <c r="K230" t="s">
        <v>41</v>
      </c>
      <c r="L230">
        <v>122</v>
      </c>
      <c r="M230">
        <v>122</v>
      </c>
      <c r="N230">
        <v>0</v>
      </c>
      <c r="O230">
        <v>78</v>
      </c>
      <c r="P230">
        <v>3</v>
      </c>
      <c r="Q230">
        <v>3</v>
      </c>
      <c r="R230">
        <v>0</v>
      </c>
      <c r="S230">
        <v>768862</v>
      </c>
      <c r="T230">
        <v>748501</v>
      </c>
      <c r="U230" t="s">
        <v>42</v>
      </c>
      <c r="V230">
        <v>1</v>
      </c>
      <c r="W230">
        <v>0</v>
      </c>
      <c r="X230">
        <v>20361</v>
      </c>
      <c r="Y230">
        <v>2.7E-2</v>
      </c>
    </row>
    <row r="231" spans="1:25" x14ac:dyDescent="0.25">
      <c r="A231" t="s">
        <v>304</v>
      </c>
      <c r="B231">
        <v>46157</v>
      </c>
      <c r="C231">
        <v>46161</v>
      </c>
      <c r="D231" t="s">
        <v>77</v>
      </c>
      <c r="E231" t="s">
        <v>57</v>
      </c>
      <c r="F231" t="s">
        <v>53</v>
      </c>
      <c r="G231" t="s">
        <v>73</v>
      </c>
      <c r="H231" t="s">
        <v>74</v>
      </c>
      <c r="I231" t="s">
        <v>64</v>
      </c>
      <c r="J231" t="s">
        <v>65</v>
      </c>
      <c r="K231" t="s">
        <v>32</v>
      </c>
      <c r="L231">
        <v>120</v>
      </c>
      <c r="M231">
        <v>120</v>
      </c>
      <c r="N231">
        <v>0</v>
      </c>
      <c r="O231">
        <v>560</v>
      </c>
      <c r="P231">
        <v>3</v>
      </c>
      <c r="Q231">
        <v>4</v>
      </c>
      <c r="R231">
        <v>1</v>
      </c>
      <c r="S231">
        <v>1906840</v>
      </c>
      <c r="T231">
        <v>1952235</v>
      </c>
      <c r="U231" t="s">
        <v>33</v>
      </c>
      <c r="V231">
        <v>0</v>
      </c>
      <c r="W231">
        <v>0</v>
      </c>
      <c r="X231">
        <v>-45395</v>
      </c>
      <c r="Y231">
        <v>-2.3E-2</v>
      </c>
    </row>
    <row r="232" spans="1:25" x14ac:dyDescent="0.25">
      <c r="A232" t="s">
        <v>305</v>
      </c>
      <c r="B232">
        <v>46130</v>
      </c>
      <c r="C232">
        <v>46136</v>
      </c>
      <c r="D232" t="s">
        <v>26</v>
      </c>
      <c r="E232" t="s">
        <v>45</v>
      </c>
      <c r="F232" t="s">
        <v>37</v>
      </c>
      <c r="G232" t="s">
        <v>47</v>
      </c>
      <c r="H232" t="s">
        <v>48</v>
      </c>
      <c r="I232" t="s">
        <v>72</v>
      </c>
      <c r="J232" t="s">
        <v>72</v>
      </c>
      <c r="K232" t="s">
        <v>41</v>
      </c>
      <c r="L232">
        <v>138</v>
      </c>
      <c r="M232">
        <v>135</v>
      </c>
      <c r="N232">
        <v>3</v>
      </c>
      <c r="O232">
        <v>415</v>
      </c>
      <c r="P232">
        <v>2</v>
      </c>
      <c r="Q232">
        <v>6</v>
      </c>
      <c r="R232">
        <v>4</v>
      </c>
      <c r="S232">
        <v>1336489</v>
      </c>
      <c r="T232">
        <v>1307970</v>
      </c>
      <c r="U232" t="s">
        <v>75</v>
      </c>
      <c r="V232">
        <v>0</v>
      </c>
      <c r="W232">
        <v>2.1999999999999999E-2</v>
      </c>
      <c r="X232">
        <v>28519</v>
      </c>
      <c r="Y232">
        <v>2.1999999999999999E-2</v>
      </c>
    </row>
    <row r="233" spans="1:25" x14ac:dyDescent="0.25">
      <c r="A233" t="s">
        <v>306</v>
      </c>
      <c r="B233">
        <v>46231</v>
      </c>
      <c r="C233">
        <v>46242</v>
      </c>
      <c r="D233" t="s">
        <v>44</v>
      </c>
      <c r="E233" t="s">
        <v>67</v>
      </c>
      <c r="F233" t="s">
        <v>53</v>
      </c>
      <c r="G233" t="s">
        <v>88</v>
      </c>
      <c r="H233" t="s">
        <v>89</v>
      </c>
      <c r="I233" t="s">
        <v>30</v>
      </c>
      <c r="J233" t="s">
        <v>31</v>
      </c>
      <c r="K233" t="s">
        <v>41</v>
      </c>
      <c r="L233">
        <v>79</v>
      </c>
      <c r="M233">
        <v>76</v>
      </c>
      <c r="N233">
        <v>3</v>
      </c>
      <c r="O233">
        <v>800</v>
      </c>
      <c r="P233">
        <v>7</v>
      </c>
      <c r="Q233">
        <v>11</v>
      </c>
      <c r="R233">
        <v>4</v>
      </c>
      <c r="S233">
        <v>1255865</v>
      </c>
      <c r="T233">
        <v>1171896</v>
      </c>
      <c r="U233" t="s">
        <v>75</v>
      </c>
      <c r="V233">
        <v>0</v>
      </c>
      <c r="W233">
        <v>3.7999999999999999E-2</v>
      </c>
      <c r="X233">
        <v>83969</v>
      </c>
      <c r="Y233">
        <v>7.1999999999999995E-2</v>
      </c>
    </row>
    <row r="234" spans="1:25" x14ac:dyDescent="0.25">
      <c r="A234" t="s">
        <v>307</v>
      </c>
      <c r="B234">
        <v>46150</v>
      </c>
      <c r="C234">
        <v>46154</v>
      </c>
      <c r="D234" t="s">
        <v>77</v>
      </c>
      <c r="E234" t="s">
        <v>103</v>
      </c>
      <c r="F234" t="s">
        <v>46</v>
      </c>
      <c r="G234" t="s">
        <v>68</v>
      </c>
      <c r="H234" t="s">
        <v>69</v>
      </c>
      <c r="I234" t="s">
        <v>47</v>
      </c>
      <c r="J234" t="s">
        <v>48</v>
      </c>
      <c r="K234" t="s">
        <v>60</v>
      </c>
      <c r="L234">
        <v>94</v>
      </c>
      <c r="M234">
        <v>92</v>
      </c>
      <c r="N234">
        <v>2</v>
      </c>
      <c r="O234">
        <v>128</v>
      </c>
      <c r="P234">
        <v>4</v>
      </c>
      <c r="Q234">
        <v>4</v>
      </c>
      <c r="R234">
        <v>0</v>
      </c>
      <c r="S234">
        <v>1264200</v>
      </c>
      <c r="T234">
        <v>1361591</v>
      </c>
      <c r="U234" t="s">
        <v>42</v>
      </c>
      <c r="V234">
        <v>1</v>
      </c>
      <c r="W234">
        <v>2.1000000000000001E-2</v>
      </c>
      <c r="X234">
        <v>-97391</v>
      </c>
      <c r="Y234">
        <v>-7.1999999999999995E-2</v>
      </c>
    </row>
    <row r="235" spans="1:25" x14ac:dyDescent="0.25">
      <c r="A235" t="s">
        <v>308</v>
      </c>
      <c r="B235">
        <v>46116</v>
      </c>
      <c r="C235">
        <v>46118</v>
      </c>
      <c r="D235" t="s">
        <v>77</v>
      </c>
      <c r="E235" t="s">
        <v>57</v>
      </c>
      <c r="F235" t="s">
        <v>53</v>
      </c>
      <c r="G235" t="s">
        <v>72</v>
      </c>
      <c r="H235" t="s">
        <v>72</v>
      </c>
      <c r="I235" t="s">
        <v>80</v>
      </c>
      <c r="J235" t="s">
        <v>80</v>
      </c>
      <c r="K235" t="s">
        <v>32</v>
      </c>
      <c r="L235">
        <v>30</v>
      </c>
      <c r="M235">
        <v>29</v>
      </c>
      <c r="N235">
        <v>1</v>
      </c>
      <c r="O235">
        <v>49</v>
      </c>
      <c r="P235">
        <v>2</v>
      </c>
      <c r="Q235">
        <v>2</v>
      </c>
      <c r="R235">
        <v>0</v>
      </c>
      <c r="S235">
        <v>382952</v>
      </c>
      <c r="T235">
        <v>363571</v>
      </c>
      <c r="U235" t="s">
        <v>42</v>
      </c>
      <c r="V235">
        <v>1</v>
      </c>
      <c r="W235">
        <v>3.3000000000000002E-2</v>
      </c>
      <c r="X235">
        <v>19381</v>
      </c>
      <c r="Y235">
        <v>5.2999999999999999E-2</v>
      </c>
    </row>
    <row r="236" spans="1:25" x14ac:dyDescent="0.25">
      <c r="A236" t="s">
        <v>309</v>
      </c>
      <c r="B236">
        <v>46075</v>
      </c>
      <c r="C236">
        <v>46082</v>
      </c>
      <c r="D236" t="s">
        <v>44</v>
      </c>
      <c r="E236" t="s">
        <v>103</v>
      </c>
      <c r="F236" t="s">
        <v>37</v>
      </c>
      <c r="G236" t="s">
        <v>80</v>
      </c>
      <c r="H236" t="s">
        <v>80</v>
      </c>
      <c r="I236" t="s">
        <v>72</v>
      </c>
      <c r="J236" t="s">
        <v>72</v>
      </c>
      <c r="K236" t="s">
        <v>41</v>
      </c>
      <c r="L236">
        <v>61</v>
      </c>
      <c r="M236">
        <v>61</v>
      </c>
      <c r="N236">
        <v>0</v>
      </c>
      <c r="O236">
        <v>583</v>
      </c>
      <c r="P236">
        <v>7</v>
      </c>
      <c r="Q236">
        <v>7</v>
      </c>
      <c r="R236">
        <v>0</v>
      </c>
      <c r="S236">
        <v>972159</v>
      </c>
      <c r="T236">
        <v>906480</v>
      </c>
      <c r="U236" t="s">
        <v>42</v>
      </c>
      <c r="V236">
        <v>1</v>
      </c>
      <c r="W236">
        <v>0</v>
      </c>
      <c r="X236">
        <v>65679</v>
      </c>
      <c r="Y236">
        <v>7.1999999999999995E-2</v>
      </c>
    </row>
    <row r="237" spans="1:25" x14ac:dyDescent="0.25">
      <c r="A237" t="s">
        <v>310</v>
      </c>
      <c r="B237">
        <v>46250</v>
      </c>
      <c r="C237">
        <v>46256</v>
      </c>
      <c r="D237" t="s">
        <v>62</v>
      </c>
      <c r="E237" t="s">
        <v>57</v>
      </c>
      <c r="F237" t="s">
        <v>37</v>
      </c>
      <c r="G237" t="s">
        <v>58</v>
      </c>
      <c r="H237" t="s">
        <v>59</v>
      </c>
      <c r="I237" t="s">
        <v>47</v>
      </c>
      <c r="J237" t="s">
        <v>48</v>
      </c>
      <c r="K237" t="s">
        <v>41</v>
      </c>
      <c r="L237">
        <v>138</v>
      </c>
      <c r="M237">
        <v>132</v>
      </c>
      <c r="N237">
        <v>6</v>
      </c>
      <c r="O237">
        <v>318</v>
      </c>
      <c r="P237">
        <v>4</v>
      </c>
      <c r="Q237">
        <v>6</v>
      </c>
      <c r="R237">
        <v>2</v>
      </c>
      <c r="S237">
        <v>1175220</v>
      </c>
      <c r="T237">
        <v>1189243</v>
      </c>
      <c r="U237" t="s">
        <v>33</v>
      </c>
      <c r="V237">
        <v>0</v>
      </c>
      <c r="W237">
        <v>4.2999999999999997E-2</v>
      </c>
      <c r="X237">
        <v>-14023</v>
      </c>
      <c r="Y237">
        <v>-1.2E-2</v>
      </c>
    </row>
    <row r="238" spans="1:25" x14ac:dyDescent="0.25">
      <c r="A238" t="s">
        <v>311</v>
      </c>
      <c r="B238">
        <v>46119</v>
      </c>
      <c r="C238">
        <v>46127</v>
      </c>
      <c r="D238" t="s">
        <v>35</v>
      </c>
      <c r="E238" t="s">
        <v>85</v>
      </c>
      <c r="F238" t="s">
        <v>53</v>
      </c>
      <c r="G238" t="s">
        <v>54</v>
      </c>
      <c r="H238" t="s">
        <v>55</v>
      </c>
      <c r="I238" t="s">
        <v>91</v>
      </c>
      <c r="J238" t="s">
        <v>92</v>
      </c>
      <c r="K238" t="s">
        <v>32</v>
      </c>
      <c r="L238">
        <v>112</v>
      </c>
      <c r="M238">
        <v>112</v>
      </c>
      <c r="N238">
        <v>0</v>
      </c>
      <c r="O238">
        <v>185</v>
      </c>
      <c r="P238">
        <v>4</v>
      </c>
      <c r="Q238">
        <v>8</v>
      </c>
      <c r="R238">
        <v>4</v>
      </c>
      <c r="S238">
        <v>1459421</v>
      </c>
      <c r="T238">
        <v>1633086</v>
      </c>
      <c r="U238" t="s">
        <v>75</v>
      </c>
      <c r="V238">
        <v>0</v>
      </c>
      <c r="W238">
        <v>0</v>
      </c>
      <c r="X238">
        <v>-173665</v>
      </c>
      <c r="Y238">
        <v>-0.106</v>
      </c>
    </row>
    <row r="239" spans="1:25" x14ac:dyDescent="0.25">
      <c r="A239" t="s">
        <v>312</v>
      </c>
      <c r="B239">
        <v>46074</v>
      </c>
      <c r="C239">
        <v>46084</v>
      </c>
      <c r="D239" t="s">
        <v>26</v>
      </c>
      <c r="E239" t="s">
        <v>103</v>
      </c>
      <c r="F239" t="s">
        <v>28</v>
      </c>
      <c r="G239" t="s">
        <v>73</v>
      </c>
      <c r="H239" t="s">
        <v>74</v>
      </c>
      <c r="I239" t="s">
        <v>39</v>
      </c>
      <c r="J239" t="s">
        <v>40</v>
      </c>
      <c r="K239" t="s">
        <v>41</v>
      </c>
      <c r="L239">
        <v>80</v>
      </c>
      <c r="M239">
        <v>78</v>
      </c>
      <c r="N239">
        <v>2</v>
      </c>
      <c r="O239">
        <v>163</v>
      </c>
      <c r="P239">
        <v>3</v>
      </c>
      <c r="Q239">
        <v>10</v>
      </c>
      <c r="R239">
        <v>7</v>
      </c>
      <c r="S239">
        <v>1082634</v>
      </c>
      <c r="T239">
        <v>1195095</v>
      </c>
      <c r="U239" t="s">
        <v>75</v>
      </c>
      <c r="V239">
        <v>0</v>
      </c>
      <c r="W239">
        <v>2.5000000000000001E-2</v>
      </c>
      <c r="X239">
        <v>-112461</v>
      </c>
      <c r="Y239">
        <v>-9.4E-2</v>
      </c>
    </row>
    <row r="240" spans="1:25" x14ac:dyDescent="0.25">
      <c r="A240" t="s">
        <v>313</v>
      </c>
      <c r="B240">
        <v>46030</v>
      </c>
      <c r="C240">
        <v>46037</v>
      </c>
      <c r="D240" t="s">
        <v>77</v>
      </c>
      <c r="E240" t="s">
        <v>57</v>
      </c>
      <c r="F240" t="s">
        <v>46</v>
      </c>
      <c r="G240" t="s">
        <v>49</v>
      </c>
      <c r="H240" t="s">
        <v>50</v>
      </c>
      <c r="I240" t="s">
        <v>91</v>
      </c>
      <c r="J240" t="s">
        <v>92</v>
      </c>
      <c r="K240" t="s">
        <v>32</v>
      </c>
      <c r="L240">
        <v>129</v>
      </c>
      <c r="M240">
        <v>125</v>
      </c>
      <c r="N240">
        <v>4</v>
      </c>
      <c r="O240">
        <v>378</v>
      </c>
      <c r="P240">
        <v>5</v>
      </c>
      <c r="Q240">
        <v>7</v>
      </c>
      <c r="R240">
        <v>2</v>
      </c>
      <c r="S240">
        <v>844452</v>
      </c>
      <c r="T240">
        <v>843642</v>
      </c>
      <c r="U240" t="s">
        <v>33</v>
      </c>
      <c r="V240">
        <v>0</v>
      </c>
      <c r="W240">
        <v>3.1E-2</v>
      </c>
      <c r="X240">
        <v>810</v>
      </c>
      <c r="Y240">
        <v>1E-3</v>
      </c>
    </row>
    <row r="241" spans="1:25" x14ac:dyDescent="0.25">
      <c r="A241" t="s">
        <v>314</v>
      </c>
      <c r="B241">
        <v>46107</v>
      </c>
      <c r="C241">
        <v>46110</v>
      </c>
      <c r="D241" t="s">
        <v>62</v>
      </c>
      <c r="E241" t="s">
        <v>45</v>
      </c>
      <c r="F241" t="s">
        <v>53</v>
      </c>
      <c r="G241" t="s">
        <v>80</v>
      </c>
      <c r="H241" t="s">
        <v>80</v>
      </c>
      <c r="I241" t="s">
        <v>29</v>
      </c>
      <c r="J241" t="s">
        <v>29</v>
      </c>
      <c r="K241" t="s">
        <v>41</v>
      </c>
      <c r="L241">
        <v>90</v>
      </c>
      <c r="M241">
        <v>89</v>
      </c>
      <c r="N241">
        <v>1</v>
      </c>
      <c r="O241">
        <v>117</v>
      </c>
      <c r="P241">
        <v>2</v>
      </c>
      <c r="Q241">
        <v>3</v>
      </c>
      <c r="R241">
        <v>1</v>
      </c>
      <c r="S241">
        <v>1172511</v>
      </c>
      <c r="T241">
        <v>1081548</v>
      </c>
      <c r="U241" t="s">
        <v>33</v>
      </c>
      <c r="V241">
        <v>0</v>
      </c>
      <c r="W241">
        <v>1.0999999999999999E-2</v>
      </c>
      <c r="X241">
        <v>90963</v>
      </c>
      <c r="Y241">
        <v>8.4000000000000005E-2</v>
      </c>
    </row>
    <row r="242" spans="1:25" x14ac:dyDescent="0.25">
      <c r="A242" t="s">
        <v>315</v>
      </c>
      <c r="B242">
        <v>46197</v>
      </c>
      <c r="C242">
        <v>46201</v>
      </c>
      <c r="D242" t="s">
        <v>62</v>
      </c>
      <c r="E242" t="s">
        <v>27</v>
      </c>
      <c r="F242" t="s">
        <v>28</v>
      </c>
      <c r="G242" t="s">
        <v>49</v>
      </c>
      <c r="H242" t="s">
        <v>50</v>
      </c>
      <c r="I242" t="s">
        <v>47</v>
      </c>
      <c r="J242" t="s">
        <v>48</v>
      </c>
      <c r="K242" t="s">
        <v>41</v>
      </c>
      <c r="L242">
        <v>108</v>
      </c>
      <c r="M242">
        <v>107</v>
      </c>
      <c r="N242">
        <v>1</v>
      </c>
      <c r="O242">
        <v>346</v>
      </c>
      <c r="P242">
        <v>1</v>
      </c>
      <c r="Q242">
        <v>4</v>
      </c>
      <c r="R242">
        <v>3</v>
      </c>
      <c r="S242">
        <v>1079930</v>
      </c>
      <c r="T242">
        <v>1014140</v>
      </c>
      <c r="U242" t="s">
        <v>33</v>
      </c>
      <c r="V242">
        <v>0</v>
      </c>
      <c r="W242">
        <v>8.9999999999999993E-3</v>
      </c>
      <c r="X242">
        <v>65790</v>
      </c>
      <c r="Y242">
        <v>6.5000000000000002E-2</v>
      </c>
    </row>
    <row r="243" spans="1:25" x14ac:dyDescent="0.25">
      <c r="A243" t="s">
        <v>316</v>
      </c>
      <c r="B243">
        <v>46208</v>
      </c>
      <c r="C243">
        <v>46216</v>
      </c>
      <c r="D243" t="s">
        <v>77</v>
      </c>
      <c r="E243" t="s">
        <v>27</v>
      </c>
      <c r="F243" t="s">
        <v>37</v>
      </c>
      <c r="G243" t="s">
        <v>30</v>
      </c>
      <c r="H243" t="s">
        <v>31</v>
      </c>
      <c r="I243" t="s">
        <v>64</v>
      </c>
      <c r="J243" t="s">
        <v>65</v>
      </c>
      <c r="K243" t="s">
        <v>41</v>
      </c>
      <c r="L243">
        <v>133</v>
      </c>
      <c r="M243">
        <v>131</v>
      </c>
      <c r="N243">
        <v>2</v>
      </c>
      <c r="O243">
        <v>696</v>
      </c>
      <c r="P243">
        <v>3</v>
      </c>
      <c r="Q243">
        <v>8</v>
      </c>
      <c r="R243">
        <v>5</v>
      </c>
      <c r="S243">
        <v>1936268</v>
      </c>
      <c r="T243">
        <v>1967848</v>
      </c>
      <c r="U243" t="s">
        <v>75</v>
      </c>
      <c r="V243">
        <v>0</v>
      </c>
      <c r="W243">
        <v>1.4999999999999999E-2</v>
      </c>
      <c r="X243">
        <v>-31580</v>
      </c>
      <c r="Y243">
        <v>-1.6E-2</v>
      </c>
    </row>
    <row r="244" spans="1:25" x14ac:dyDescent="0.25">
      <c r="A244" t="s">
        <v>317</v>
      </c>
      <c r="B244">
        <v>46129</v>
      </c>
      <c r="C244">
        <v>46133</v>
      </c>
      <c r="D244" t="s">
        <v>44</v>
      </c>
      <c r="E244" t="s">
        <v>67</v>
      </c>
      <c r="F244" t="s">
        <v>63</v>
      </c>
      <c r="G244" t="s">
        <v>73</v>
      </c>
      <c r="H244" t="s">
        <v>74</v>
      </c>
      <c r="I244" t="s">
        <v>72</v>
      </c>
      <c r="J244" t="s">
        <v>72</v>
      </c>
      <c r="K244" t="s">
        <v>41</v>
      </c>
      <c r="L244">
        <v>22</v>
      </c>
      <c r="M244">
        <v>21</v>
      </c>
      <c r="N244">
        <v>1</v>
      </c>
      <c r="O244">
        <v>709</v>
      </c>
      <c r="P244">
        <v>4</v>
      </c>
      <c r="Q244">
        <v>4</v>
      </c>
      <c r="R244">
        <v>0</v>
      </c>
      <c r="S244">
        <v>634836</v>
      </c>
      <c r="T244">
        <v>655668</v>
      </c>
      <c r="U244" t="s">
        <v>42</v>
      </c>
      <c r="V244">
        <v>1</v>
      </c>
      <c r="W244">
        <v>4.4999999999999998E-2</v>
      </c>
      <c r="X244">
        <v>-20832</v>
      </c>
      <c r="Y244">
        <v>-3.2000000000000001E-2</v>
      </c>
    </row>
    <row r="245" spans="1:25" x14ac:dyDescent="0.25">
      <c r="A245" t="s">
        <v>318</v>
      </c>
      <c r="B245">
        <v>46036</v>
      </c>
      <c r="C245">
        <v>46043</v>
      </c>
      <c r="D245" t="s">
        <v>62</v>
      </c>
      <c r="E245" t="s">
        <v>45</v>
      </c>
      <c r="F245" t="s">
        <v>63</v>
      </c>
      <c r="G245" t="s">
        <v>30</v>
      </c>
      <c r="H245" t="s">
        <v>31</v>
      </c>
      <c r="I245" t="s">
        <v>29</v>
      </c>
      <c r="J245" t="s">
        <v>29</v>
      </c>
      <c r="K245" t="s">
        <v>41</v>
      </c>
      <c r="L245">
        <v>137</v>
      </c>
      <c r="M245">
        <v>137</v>
      </c>
      <c r="N245">
        <v>0</v>
      </c>
      <c r="O245">
        <v>217</v>
      </c>
      <c r="P245">
        <v>5</v>
      </c>
      <c r="Q245">
        <v>7</v>
      </c>
      <c r="R245">
        <v>2</v>
      </c>
      <c r="S245">
        <v>1465399</v>
      </c>
      <c r="T245">
        <v>1602199</v>
      </c>
      <c r="U245" t="s">
        <v>33</v>
      </c>
      <c r="V245">
        <v>0</v>
      </c>
      <c r="W245">
        <v>0</v>
      </c>
      <c r="X245">
        <v>-136800</v>
      </c>
      <c r="Y245">
        <v>-8.5000000000000006E-2</v>
      </c>
    </row>
    <row r="246" spans="1:25" x14ac:dyDescent="0.25">
      <c r="A246" t="s">
        <v>319</v>
      </c>
      <c r="B246">
        <v>46205</v>
      </c>
      <c r="C246">
        <v>46208</v>
      </c>
      <c r="D246" t="s">
        <v>77</v>
      </c>
      <c r="E246" t="s">
        <v>57</v>
      </c>
      <c r="F246" t="s">
        <v>28</v>
      </c>
      <c r="G246" t="s">
        <v>80</v>
      </c>
      <c r="H246" t="s">
        <v>80</v>
      </c>
      <c r="I246" t="s">
        <v>38</v>
      </c>
      <c r="J246" t="s">
        <v>38</v>
      </c>
      <c r="K246" t="s">
        <v>32</v>
      </c>
      <c r="L246">
        <v>119</v>
      </c>
      <c r="M246">
        <v>114</v>
      </c>
      <c r="N246">
        <v>5</v>
      </c>
      <c r="O246">
        <v>427</v>
      </c>
      <c r="P246">
        <v>3</v>
      </c>
      <c r="Q246">
        <v>3</v>
      </c>
      <c r="R246">
        <v>0</v>
      </c>
      <c r="S246">
        <v>814107</v>
      </c>
      <c r="T246">
        <v>819008</v>
      </c>
      <c r="U246" t="s">
        <v>42</v>
      </c>
      <c r="V246">
        <v>1</v>
      </c>
      <c r="W246">
        <v>4.2000000000000003E-2</v>
      </c>
      <c r="X246">
        <v>-4901</v>
      </c>
      <c r="Y246">
        <v>-6.0000000000000001E-3</v>
      </c>
    </row>
    <row r="247" spans="1:25" x14ac:dyDescent="0.25">
      <c r="A247" t="s">
        <v>320</v>
      </c>
      <c r="B247">
        <v>46247</v>
      </c>
      <c r="C247">
        <v>46250</v>
      </c>
      <c r="D247" t="s">
        <v>35</v>
      </c>
      <c r="E247" t="s">
        <v>36</v>
      </c>
      <c r="F247" t="s">
        <v>37</v>
      </c>
      <c r="G247" t="s">
        <v>30</v>
      </c>
      <c r="H247" t="s">
        <v>31</v>
      </c>
      <c r="I247" t="s">
        <v>68</v>
      </c>
      <c r="J247" t="s">
        <v>69</v>
      </c>
      <c r="K247" t="s">
        <v>32</v>
      </c>
      <c r="L247">
        <v>116</v>
      </c>
      <c r="M247">
        <v>115</v>
      </c>
      <c r="N247">
        <v>1</v>
      </c>
      <c r="O247">
        <v>639</v>
      </c>
      <c r="P247">
        <v>3</v>
      </c>
      <c r="Q247">
        <v>3</v>
      </c>
      <c r="R247">
        <v>0</v>
      </c>
      <c r="S247">
        <v>1354367</v>
      </c>
      <c r="T247">
        <v>1325990</v>
      </c>
      <c r="U247" t="s">
        <v>42</v>
      </c>
      <c r="V247">
        <v>1</v>
      </c>
      <c r="W247">
        <v>8.9999999999999993E-3</v>
      </c>
      <c r="X247">
        <v>28377</v>
      </c>
      <c r="Y247">
        <v>2.1000000000000001E-2</v>
      </c>
    </row>
    <row r="248" spans="1:25" x14ac:dyDescent="0.25">
      <c r="A248" t="s">
        <v>321</v>
      </c>
      <c r="B248">
        <v>46215</v>
      </c>
      <c r="C248">
        <v>46223</v>
      </c>
      <c r="D248" t="s">
        <v>35</v>
      </c>
      <c r="E248" t="s">
        <v>52</v>
      </c>
      <c r="F248" t="s">
        <v>63</v>
      </c>
      <c r="G248" t="s">
        <v>38</v>
      </c>
      <c r="H248" t="s">
        <v>38</v>
      </c>
      <c r="I248" t="s">
        <v>47</v>
      </c>
      <c r="J248" t="s">
        <v>48</v>
      </c>
      <c r="K248" t="s">
        <v>41</v>
      </c>
      <c r="L248">
        <v>28</v>
      </c>
      <c r="M248">
        <v>28</v>
      </c>
      <c r="N248">
        <v>0</v>
      </c>
      <c r="O248">
        <v>28</v>
      </c>
      <c r="P248">
        <v>5</v>
      </c>
      <c r="Q248">
        <v>8</v>
      </c>
      <c r="R248">
        <v>3</v>
      </c>
      <c r="S248">
        <v>150612</v>
      </c>
      <c r="T248">
        <v>152518</v>
      </c>
      <c r="U248" t="s">
        <v>33</v>
      </c>
      <c r="V248">
        <v>0</v>
      </c>
      <c r="W248">
        <v>0</v>
      </c>
      <c r="X248">
        <v>-1906</v>
      </c>
      <c r="Y248">
        <v>-1.2E-2</v>
      </c>
    </row>
    <row r="249" spans="1:25" x14ac:dyDescent="0.25">
      <c r="A249" t="s">
        <v>322</v>
      </c>
      <c r="B249">
        <v>46080</v>
      </c>
      <c r="C249">
        <v>46085</v>
      </c>
      <c r="D249" t="s">
        <v>26</v>
      </c>
      <c r="E249" t="s">
        <v>57</v>
      </c>
      <c r="F249" t="s">
        <v>53</v>
      </c>
      <c r="G249" t="s">
        <v>64</v>
      </c>
      <c r="H249" t="s">
        <v>65</v>
      </c>
      <c r="I249" t="s">
        <v>39</v>
      </c>
      <c r="J249" t="s">
        <v>40</v>
      </c>
      <c r="K249" t="s">
        <v>32</v>
      </c>
      <c r="L249">
        <v>139</v>
      </c>
      <c r="M249">
        <v>135</v>
      </c>
      <c r="N249">
        <v>4</v>
      </c>
      <c r="O249">
        <v>639</v>
      </c>
      <c r="P249">
        <v>3</v>
      </c>
      <c r="Q249">
        <v>5</v>
      </c>
      <c r="R249">
        <v>2</v>
      </c>
      <c r="S249">
        <v>1361958</v>
      </c>
      <c r="T249">
        <v>1372167</v>
      </c>
      <c r="U249" t="s">
        <v>33</v>
      </c>
      <c r="V249">
        <v>0</v>
      </c>
      <c r="W249">
        <v>2.9000000000000001E-2</v>
      </c>
      <c r="X249">
        <v>-10209</v>
      </c>
      <c r="Y249">
        <v>-7.0000000000000001E-3</v>
      </c>
    </row>
    <row r="250" spans="1:25" x14ac:dyDescent="0.25">
      <c r="A250" t="s">
        <v>323</v>
      </c>
      <c r="B250">
        <v>46190</v>
      </c>
      <c r="C250">
        <v>46199</v>
      </c>
      <c r="D250" t="s">
        <v>57</v>
      </c>
      <c r="E250" t="s">
        <v>57</v>
      </c>
      <c r="F250" t="s">
        <v>53</v>
      </c>
      <c r="G250" t="s">
        <v>39</v>
      </c>
      <c r="H250" t="s">
        <v>40</v>
      </c>
      <c r="I250" t="s">
        <v>91</v>
      </c>
      <c r="J250" t="s">
        <v>92</v>
      </c>
      <c r="K250" t="s">
        <v>41</v>
      </c>
      <c r="L250">
        <v>91</v>
      </c>
      <c r="M250">
        <v>90</v>
      </c>
      <c r="N250">
        <v>1</v>
      </c>
      <c r="O250">
        <v>330</v>
      </c>
      <c r="P250">
        <v>5</v>
      </c>
      <c r="Q250">
        <v>9</v>
      </c>
      <c r="R250">
        <v>4</v>
      </c>
      <c r="S250">
        <v>826639</v>
      </c>
      <c r="T250">
        <v>878323</v>
      </c>
      <c r="U250" t="s">
        <v>75</v>
      </c>
      <c r="V250">
        <v>0</v>
      </c>
      <c r="W250">
        <v>1.0999999999999999E-2</v>
      </c>
      <c r="X250">
        <v>-51684</v>
      </c>
      <c r="Y250">
        <v>-5.8999999999999997E-2</v>
      </c>
    </row>
    <row r="251" spans="1:25" x14ac:dyDescent="0.25">
      <c r="A251" t="s">
        <v>324</v>
      </c>
      <c r="B251">
        <v>46048</v>
      </c>
      <c r="C251">
        <v>46052</v>
      </c>
      <c r="D251" t="s">
        <v>35</v>
      </c>
      <c r="E251" t="s">
        <v>52</v>
      </c>
      <c r="F251" t="s">
        <v>37</v>
      </c>
      <c r="G251" t="s">
        <v>29</v>
      </c>
      <c r="H251" t="s">
        <v>29</v>
      </c>
      <c r="I251" t="s">
        <v>38</v>
      </c>
      <c r="J251" t="s">
        <v>38</v>
      </c>
      <c r="K251" t="s">
        <v>32</v>
      </c>
      <c r="L251">
        <v>20</v>
      </c>
      <c r="M251">
        <v>20</v>
      </c>
      <c r="N251">
        <v>0</v>
      </c>
      <c r="O251">
        <v>595</v>
      </c>
      <c r="P251">
        <v>3</v>
      </c>
      <c r="Q251">
        <v>4</v>
      </c>
      <c r="R251">
        <v>1</v>
      </c>
      <c r="S251">
        <v>263155</v>
      </c>
      <c r="T251">
        <v>250908</v>
      </c>
      <c r="U251" t="s">
        <v>33</v>
      </c>
      <c r="V251">
        <v>0</v>
      </c>
      <c r="W251">
        <v>0</v>
      </c>
      <c r="X251">
        <v>12247</v>
      </c>
      <c r="Y251">
        <v>4.9000000000000002E-2</v>
      </c>
    </row>
    <row r="252" spans="1:25" x14ac:dyDescent="0.25">
      <c r="A252" t="s">
        <v>325</v>
      </c>
      <c r="B252">
        <v>46043</v>
      </c>
      <c r="C252">
        <v>46047</v>
      </c>
      <c r="D252" t="s">
        <v>57</v>
      </c>
      <c r="E252" t="s">
        <v>103</v>
      </c>
      <c r="F252" t="s">
        <v>46</v>
      </c>
      <c r="G252" t="s">
        <v>49</v>
      </c>
      <c r="H252" t="s">
        <v>50</v>
      </c>
      <c r="I252" t="s">
        <v>91</v>
      </c>
      <c r="J252" t="s">
        <v>92</v>
      </c>
      <c r="K252" t="s">
        <v>41</v>
      </c>
      <c r="L252">
        <v>157</v>
      </c>
      <c r="M252">
        <v>157</v>
      </c>
      <c r="N252">
        <v>0</v>
      </c>
      <c r="O252">
        <v>659</v>
      </c>
      <c r="P252">
        <v>4</v>
      </c>
      <c r="Q252">
        <v>4</v>
      </c>
      <c r="R252">
        <v>0</v>
      </c>
      <c r="S252">
        <v>1455830</v>
      </c>
      <c r="T252">
        <v>1545651</v>
      </c>
      <c r="U252" t="s">
        <v>42</v>
      </c>
      <c r="V252">
        <v>1</v>
      </c>
      <c r="W252">
        <v>0</v>
      </c>
      <c r="X252">
        <v>-89821</v>
      </c>
      <c r="Y252">
        <v>-5.8000000000000003E-2</v>
      </c>
    </row>
    <row r="253" spans="1:25" x14ac:dyDescent="0.25">
      <c r="A253" t="s">
        <v>326</v>
      </c>
      <c r="B253">
        <v>46148</v>
      </c>
      <c r="C253">
        <v>46157</v>
      </c>
      <c r="D253" t="s">
        <v>77</v>
      </c>
      <c r="E253" t="s">
        <v>27</v>
      </c>
      <c r="F253" t="s">
        <v>37</v>
      </c>
      <c r="G253" t="s">
        <v>47</v>
      </c>
      <c r="H253" t="s">
        <v>48</v>
      </c>
      <c r="I253" t="s">
        <v>29</v>
      </c>
      <c r="J253" t="s">
        <v>29</v>
      </c>
      <c r="K253" t="s">
        <v>41</v>
      </c>
      <c r="L253">
        <v>85</v>
      </c>
      <c r="M253">
        <v>84</v>
      </c>
      <c r="N253">
        <v>1</v>
      </c>
      <c r="O253">
        <v>442</v>
      </c>
      <c r="P253">
        <v>5</v>
      </c>
      <c r="Q253">
        <v>9</v>
      </c>
      <c r="R253">
        <v>4</v>
      </c>
      <c r="S253">
        <v>538424</v>
      </c>
      <c r="T253">
        <v>532538</v>
      </c>
      <c r="U253" t="s">
        <v>75</v>
      </c>
      <c r="V253">
        <v>0</v>
      </c>
      <c r="W253">
        <v>1.2E-2</v>
      </c>
      <c r="X253">
        <v>5886</v>
      </c>
      <c r="Y253">
        <v>1.0999999999999999E-2</v>
      </c>
    </row>
    <row r="254" spans="1:25" x14ac:dyDescent="0.25">
      <c r="A254" t="s">
        <v>327</v>
      </c>
      <c r="B254">
        <v>46075</v>
      </c>
      <c r="C254">
        <v>46081</v>
      </c>
      <c r="D254" t="s">
        <v>35</v>
      </c>
      <c r="E254" t="s">
        <v>103</v>
      </c>
      <c r="F254" t="s">
        <v>28</v>
      </c>
      <c r="G254" t="s">
        <v>72</v>
      </c>
      <c r="H254" t="s">
        <v>72</v>
      </c>
      <c r="I254" t="s">
        <v>47</v>
      </c>
      <c r="J254" t="s">
        <v>48</v>
      </c>
      <c r="K254" t="s">
        <v>32</v>
      </c>
      <c r="L254">
        <v>69</v>
      </c>
      <c r="M254">
        <v>68</v>
      </c>
      <c r="N254">
        <v>1</v>
      </c>
      <c r="O254">
        <v>498</v>
      </c>
      <c r="P254">
        <v>5</v>
      </c>
      <c r="Q254">
        <v>6</v>
      </c>
      <c r="R254">
        <v>1</v>
      </c>
      <c r="S254">
        <v>619437</v>
      </c>
      <c r="T254">
        <v>617855</v>
      </c>
      <c r="U254" t="s">
        <v>33</v>
      </c>
      <c r="V254">
        <v>0</v>
      </c>
      <c r="W254">
        <v>1.4E-2</v>
      </c>
      <c r="X254">
        <v>1582</v>
      </c>
      <c r="Y254">
        <v>3.0000000000000001E-3</v>
      </c>
    </row>
    <row r="255" spans="1:25" x14ac:dyDescent="0.25">
      <c r="A255" t="s">
        <v>328</v>
      </c>
      <c r="B255">
        <v>46158</v>
      </c>
      <c r="C255">
        <v>46163</v>
      </c>
      <c r="D255" t="s">
        <v>26</v>
      </c>
      <c r="E255" t="s">
        <v>36</v>
      </c>
      <c r="F255" t="s">
        <v>37</v>
      </c>
      <c r="G255" t="s">
        <v>68</v>
      </c>
      <c r="H255" t="s">
        <v>69</v>
      </c>
      <c r="I255" t="s">
        <v>29</v>
      </c>
      <c r="J255" t="s">
        <v>29</v>
      </c>
      <c r="K255" t="s">
        <v>41</v>
      </c>
      <c r="L255">
        <v>138</v>
      </c>
      <c r="M255">
        <v>135</v>
      </c>
      <c r="N255">
        <v>3</v>
      </c>
      <c r="O255">
        <v>192</v>
      </c>
      <c r="P255">
        <v>4</v>
      </c>
      <c r="Q255">
        <v>5</v>
      </c>
      <c r="R255">
        <v>1</v>
      </c>
      <c r="S255">
        <v>1013064</v>
      </c>
      <c r="T255">
        <v>1029731</v>
      </c>
      <c r="U255" t="s">
        <v>33</v>
      </c>
      <c r="V255">
        <v>0</v>
      </c>
      <c r="W255">
        <v>2.1999999999999999E-2</v>
      </c>
      <c r="X255">
        <v>-16667</v>
      </c>
      <c r="Y255">
        <v>-1.6E-2</v>
      </c>
    </row>
    <row r="256" spans="1:25" x14ac:dyDescent="0.25">
      <c r="A256" t="s">
        <v>329</v>
      </c>
      <c r="B256">
        <v>46069</v>
      </c>
      <c r="C256">
        <v>46075</v>
      </c>
      <c r="D256" t="s">
        <v>44</v>
      </c>
      <c r="E256" t="s">
        <v>85</v>
      </c>
      <c r="F256" t="s">
        <v>37</v>
      </c>
      <c r="G256" t="s">
        <v>39</v>
      </c>
      <c r="H256" t="s">
        <v>40</v>
      </c>
      <c r="I256" t="s">
        <v>80</v>
      </c>
      <c r="J256" t="s">
        <v>80</v>
      </c>
      <c r="K256" t="s">
        <v>60</v>
      </c>
      <c r="L256">
        <v>155</v>
      </c>
      <c r="M256">
        <v>153</v>
      </c>
      <c r="N256">
        <v>2</v>
      </c>
      <c r="O256">
        <v>538</v>
      </c>
      <c r="P256">
        <v>6</v>
      </c>
      <c r="Q256">
        <v>6</v>
      </c>
      <c r="R256">
        <v>0</v>
      </c>
      <c r="S256">
        <v>1456675</v>
      </c>
      <c r="T256">
        <v>1486250</v>
      </c>
      <c r="U256" t="s">
        <v>42</v>
      </c>
      <c r="V256">
        <v>1</v>
      </c>
      <c r="W256">
        <v>1.2999999999999999E-2</v>
      </c>
      <c r="X256">
        <v>-29575</v>
      </c>
      <c r="Y256">
        <v>-0.02</v>
      </c>
    </row>
    <row r="257" spans="1:25" x14ac:dyDescent="0.25">
      <c r="A257" t="s">
        <v>330</v>
      </c>
      <c r="B257">
        <v>46234</v>
      </c>
      <c r="C257">
        <v>46236</v>
      </c>
      <c r="D257" t="s">
        <v>77</v>
      </c>
      <c r="E257" t="s">
        <v>103</v>
      </c>
      <c r="F257" t="s">
        <v>63</v>
      </c>
      <c r="G257" t="s">
        <v>73</v>
      </c>
      <c r="H257" t="s">
        <v>74</v>
      </c>
      <c r="I257" t="s">
        <v>58</v>
      </c>
      <c r="J257" t="s">
        <v>59</v>
      </c>
      <c r="K257" t="s">
        <v>41</v>
      </c>
      <c r="L257">
        <v>16</v>
      </c>
      <c r="M257">
        <v>16</v>
      </c>
      <c r="N257">
        <v>0</v>
      </c>
      <c r="O257">
        <v>150</v>
      </c>
      <c r="P257">
        <v>2</v>
      </c>
      <c r="Q257">
        <v>2</v>
      </c>
      <c r="R257">
        <v>0</v>
      </c>
      <c r="S257">
        <v>156724</v>
      </c>
      <c r="T257">
        <v>173493</v>
      </c>
      <c r="U257" t="s">
        <v>42</v>
      </c>
      <c r="V257">
        <v>1</v>
      </c>
      <c r="W257">
        <v>0</v>
      </c>
      <c r="X257">
        <v>-16769</v>
      </c>
      <c r="Y257">
        <v>-9.7000000000000003E-2</v>
      </c>
    </row>
    <row r="258" spans="1:25" x14ac:dyDescent="0.25">
      <c r="A258" t="s">
        <v>331</v>
      </c>
      <c r="B258">
        <v>46085</v>
      </c>
      <c r="C258">
        <v>46088</v>
      </c>
      <c r="D258" t="s">
        <v>26</v>
      </c>
      <c r="E258" t="s">
        <v>57</v>
      </c>
      <c r="F258" t="s">
        <v>37</v>
      </c>
      <c r="G258" t="s">
        <v>91</v>
      </c>
      <c r="H258" t="s">
        <v>92</v>
      </c>
      <c r="I258" t="s">
        <v>38</v>
      </c>
      <c r="J258" t="s">
        <v>38</v>
      </c>
      <c r="K258" t="s">
        <v>41</v>
      </c>
      <c r="L258">
        <v>23</v>
      </c>
      <c r="M258">
        <v>22</v>
      </c>
      <c r="N258">
        <v>1</v>
      </c>
      <c r="O258">
        <v>750</v>
      </c>
      <c r="P258">
        <v>3</v>
      </c>
      <c r="Q258">
        <v>3</v>
      </c>
      <c r="R258">
        <v>0</v>
      </c>
      <c r="S258">
        <v>645320</v>
      </c>
      <c r="T258">
        <v>600997</v>
      </c>
      <c r="U258" t="s">
        <v>42</v>
      </c>
      <c r="V258">
        <v>1</v>
      </c>
      <c r="W258">
        <v>4.2999999999999997E-2</v>
      </c>
      <c r="X258">
        <v>44323</v>
      </c>
      <c r="Y258">
        <v>7.3999999999999996E-2</v>
      </c>
    </row>
    <row r="259" spans="1:25" x14ac:dyDescent="0.25">
      <c r="A259" t="s">
        <v>332</v>
      </c>
      <c r="B259">
        <v>46174</v>
      </c>
      <c r="C259">
        <v>46177</v>
      </c>
      <c r="D259" t="s">
        <v>44</v>
      </c>
      <c r="E259" t="s">
        <v>103</v>
      </c>
      <c r="F259" t="s">
        <v>28</v>
      </c>
      <c r="G259" t="s">
        <v>91</v>
      </c>
      <c r="H259" t="s">
        <v>92</v>
      </c>
      <c r="I259" t="s">
        <v>68</v>
      </c>
      <c r="J259" t="s">
        <v>69</v>
      </c>
      <c r="K259" t="s">
        <v>60</v>
      </c>
      <c r="L259">
        <v>109</v>
      </c>
      <c r="M259">
        <v>107</v>
      </c>
      <c r="N259">
        <v>2</v>
      </c>
      <c r="O259">
        <v>593</v>
      </c>
      <c r="P259">
        <v>3</v>
      </c>
      <c r="Q259">
        <v>3</v>
      </c>
      <c r="R259">
        <v>0</v>
      </c>
      <c r="S259">
        <v>1755294</v>
      </c>
      <c r="T259">
        <v>1772887</v>
      </c>
      <c r="U259" t="s">
        <v>42</v>
      </c>
      <c r="V259">
        <v>1</v>
      </c>
      <c r="W259">
        <v>1.7999999999999999E-2</v>
      </c>
      <c r="X259">
        <v>-17593</v>
      </c>
      <c r="Y259">
        <v>-0.01</v>
      </c>
    </row>
    <row r="260" spans="1:25" x14ac:dyDescent="0.25">
      <c r="A260" t="s">
        <v>333</v>
      </c>
      <c r="B260">
        <v>46088</v>
      </c>
      <c r="C260">
        <v>46092</v>
      </c>
      <c r="D260" t="s">
        <v>44</v>
      </c>
      <c r="E260" t="s">
        <v>36</v>
      </c>
      <c r="F260" t="s">
        <v>37</v>
      </c>
      <c r="G260" t="s">
        <v>88</v>
      </c>
      <c r="H260" t="s">
        <v>89</v>
      </c>
      <c r="I260" t="s">
        <v>39</v>
      </c>
      <c r="J260" t="s">
        <v>40</v>
      </c>
      <c r="K260" t="s">
        <v>32</v>
      </c>
      <c r="L260">
        <v>75</v>
      </c>
      <c r="M260">
        <v>73</v>
      </c>
      <c r="N260">
        <v>2</v>
      </c>
      <c r="O260">
        <v>411</v>
      </c>
      <c r="P260">
        <v>4</v>
      </c>
      <c r="Q260">
        <v>4</v>
      </c>
      <c r="R260">
        <v>0</v>
      </c>
      <c r="S260">
        <v>1008609</v>
      </c>
      <c r="T260">
        <v>1077226</v>
      </c>
      <c r="U260" t="s">
        <v>42</v>
      </c>
      <c r="V260">
        <v>1</v>
      </c>
      <c r="W260">
        <v>2.7E-2</v>
      </c>
      <c r="X260">
        <v>-68617</v>
      </c>
      <c r="Y260">
        <v>-6.4000000000000001E-2</v>
      </c>
    </row>
    <row r="261" spans="1:25" x14ac:dyDescent="0.25">
      <c r="A261" t="s">
        <v>334</v>
      </c>
      <c r="B261">
        <v>46256</v>
      </c>
      <c r="C261">
        <v>46257</v>
      </c>
      <c r="D261" t="s">
        <v>26</v>
      </c>
      <c r="E261" t="s">
        <v>36</v>
      </c>
      <c r="F261" t="s">
        <v>37</v>
      </c>
      <c r="G261" t="s">
        <v>68</v>
      </c>
      <c r="H261" t="s">
        <v>69</v>
      </c>
      <c r="I261" t="s">
        <v>47</v>
      </c>
      <c r="J261" t="s">
        <v>48</v>
      </c>
      <c r="K261" t="s">
        <v>41</v>
      </c>
      <c r="L261">
        <v>152</v>
      </c>
      <c r="M261">
        <v>145</v>
      </c>
      <c r="N261">
        <v>7</v>
      </c>
      <c r="O261">
        <v>132</v>
      </c>
      <c r="P261">
        <v>1</v>
      </c>
      <c r="Q261">
        <v>1</v>
      </c>
      <c r="R261">
        <v>0</v>
      </c>
      <c r="S261">
        <v>1292320</v>
      </c>
      <c r="T261">
        <v>1331962</v>
      </c>
      <c r="U261" t="s">
        <v>42</v>
      </c>
      <c r="V261">
        <v>1</v>
      </c>
      <c r="W261">
        <v>4.5999999999999999E-2</v>
      </c>
      <c r="X261">
        <v>-39642</v>
      </c>
      <c r="Y261">
        <v>-0.03</v>
      </c>
    </row>
    <row r="262" spans="1:25" x14ac:dyDescent="0.25">
      <c r="A262" t="s">
        <v>335</v>
      </c>
      <c r="B262">
        <v>46251</v>
      </c>
      <c r="C262">
        <v>46256</v>
      </c>
      <c r="D262" t="s">
        <v>26</v>
      </c>
      <c r="E262" t="s">
        <v>45</v>
      </c>
      <c r="F262" t="s">
        <v>28</v>
      </c>
      <c r="G262" t="s">
        <v>49</v>
      </c>
      <c r="H262" t="s">
        <v>50</v>
      </c>
      <c r="I262" t="s">
        <v>64</v>
      </c>
      <c r="J262" t="s">
        <v>65</v>
      </c>
      <c r="K262" t="s">
        <v>41</v>
      </c>
      <c r="L262">
        <v>104</v>
      </c>
      <c r="M262">
        <v>101</v>
      </c>
      <c r="N262">
        <v>3</v>
      </c>
      <c r="O262">
        <v>83</v>
      </c>
      <c r="P262">
        <v>4</v>
      </c>
      <c r="Q262">
        <v>5</v>
      </c>
      <c r="R262">
        <v>1</v>
      </c>
      <c r="S262">
        <v>767501</v>
      </c>
      <c r="T262">
        <v>839046</v>
      </c>
      <c r="U262" t="s">
        <v>33</v>
      </c>
      <c r="V262">
        <v>0</v>
      </c>
      <c r="W262">
        <v>2.9000000000000001E-2</v>
      </c>
      <c r="X262">
        <v>-71545</v>
      </c>
      <c r="Y262">
        <v>-8.5000000000000006E-2</v>
      </c>
    </row>
    <row r="263" spans="1:25" x14ac:dyDescent="0.25">
      <c r="A263" t="s">
        <v>336</v>
      </c>
      <c r="B263">
        <v>46263</v>
      </c>
      <c r="C263">
        <v>46266</v>
      </c>
      <c r="D263" t="s">
        <v>77</v>
      </c>
      <c r="E263" t="s">
        <v>52</v>
      </c>
      <c r="F263" t="s">
        <v>63</v>
      </c>
      <c r="G263" t="s">
        <v>54</v>
      </c>
      <c r="H263" t="s">
        <v>55</v>
      </c>
      <c r="I263" t="s">
        <v>64</v>
      </c>
      <c r="J263" t="s">
        <v>65</v>
      </c>
      <c r="K263" t="s">
        <v>60</v>
      </c>
      <c r="L263">
        <v>72</v>
      </c>
      <c r="M263">
        <v>70</v>
      </c>
      <c r="N263">
        <v>2</v>
      </c>
      <c r="O263">
        <v>31</v>
      </c>
      <c r="P263">
        <v>3</v>
      </c>
      <c r="Q263">
        <v>3</v>
      </c>
      <c r="R263">
        <v>0</v>
      </c>
      <c r="S263">
        <v>391618</v>
      </c>
      <c r="T263">
        <v>395554</v>
      </c>
      <c r="U263" t="s">
        <v>42</v>
      </c>
      <c r="V263">
        <v>1</v>
      </c>
      <c r="W263">
        <v>2.8000000000000001E-2</v>
      </c>
      <c r="X263">
        <v>-3936</v>
      </c>
      <c r="Y263">
        <v>-0.01</v>
      </c>
    </row>
    <row r="264" spans="1:25" x14ac:dyDescent="0.25">
      <c r="A264" t="s">
        <v>337</v>
      </c>
      <c r="B264">
        <v>46186</v>
      </c>
      <c r="C264">
        <v>46197</v>
      </c>
      <c r="D264" t="s">
        <v>57</v>
      </c>
      <c r="E264" t="s">
        <v>52</v>
      </c>
      <c r="F264" t="s">
        <v>37</v>
      </c>
      <c r="G264" t="s">
        <v>54</v>
      </c>
      <c r="H264" t="s">
        <v>55</v>
      </c>
      <c r="I264" t="s">
        <v>49</v>
      </c>
      <c r="J264" t="s">
        <v>50</v>
      </c>
      <c r="K264" t="s">
        <v>32</v>
      </c>
      <c r="L264">
        <v>149</v>
      </c>
      <c r="M264">
        <v>146</v>
      </c>
      <c r="N264">
        <v>3</v>
      </c>
      <c r="O264">
        <v>394</v>
      </c>
      <c r="P264">
        <v>4</v>
      </c>
      <c r="Q264">
        <v>11</v>
      </c>
      <c r="R264">
        <v>7</v>
      </c>
      <c r="S264">
        <v>1021364</v>
      </c>
      <c r="T264">
        <v>1006461</v>
      </c>
      <c r="U264" t="s">
        <v>75</v>
      </c>
      <c r="V264">
        <v>0</v>
      </c>
      <c r="W264">
        <v>0.02</v>
      </c>
      <c r="X264">
        <v>14903</v>
      </c>
      <c r="Y264">
        <v>1.4999999999999999E-2</v>
      </c>
    </row>
    <row r="265" spans="1:25" x14ac:dyDescent="0.25">
      <c r="A265" t="s">
        <v>338</v>
      </c>
      <c r="B265">
        <v>46118</v>
      </c>
      <c r="C265">
        <v>46123</v>
      </c>
      <c r="D265" t="s">
        <v>35</v>
      </c>
      <c r="E265" t="s">
        <v>52</v>
      </c>
      <c r="F265" t="s">
        <v>63</v>
      </c>
      <c r="G265" t="s">
        <v>49</v>
      </c>
      <c r="H265" t="s">
        <v>50</v>
      </c>
      <c r="I265" t="s">
        <v>73</v>
      </c>
      <c r="J265" t="s">
        <v>74</v>
      </c>
      <c r="K265" t="s">
        <v>41</v>
      </c>
      <c r="L265">
        <v>43</v>
      </c>
      <c r="M265">
        <v>42</v>
      </c>
      <c r="N265">
        <v>1</v>
      </c>
      <c r="O265">
        <v>393</v>
      </c>
      <c r="P265">
        <v>4</v>
      </c>
      <c r="Q265">
        <v>5</v>
      </c>
      <c r="R265">
        <v>1</v>
      </c>
      <c r="S265">
        <v>654386</v>
      </c>
      <c r="T265">
        <v>698717</v>
      </c>
      <c r="U265" t="s">
        <v>33</v>
      </c>
      <c r="V265">
        <v>0</v>
      </c>
      <c r="W265">
        <v>2.3E-2</v>
      </c>
      <c r="X265">
        <v>-44331</v>
      </c>
      <c r="Y265">
        <v>-6.3E-2</v>
      </c>
    </row>
    <row r="266" spans="1:25" x14ac:dyDescent="0.25">
      <c r="A266" t="s">
        <v>339</v>
      </c>
      <c r="B266">
        <v>46066</v>
      </c>
      <c r="C266">
        <v>46069</v>
      </c>
      <c r="D266" t="s">
        <v>57</v>
      </c>
      <c r="E266" t="s">
        <v>45</v>
      </c>
      <c r="F266" t="s">
        <v>37</v>
      </c>
      <c r="G266" t="s">
        <v>80</v>
      </c>
      <c r="H266" t="s">
        <v>80</v>
      </c>
      <c r="I266" t="s">
        <v>58</v>
      </c>
      <c r="J266" t="s">
        <v>59</v>
      </c>
      <c r="K266" t="s">
        <v>32</v>
      </c>
      <c r="L266">
        <v>66</v>
      </c>
      <c r="M266">
        <v>66</v>
      </c>
      <c r="N266">
        <v>0</v>
      </c>
      <c r="O266">
        <v>338</v>
      </c>
      <c r="P266">
        <v>3</v>
      </c>
      <c r="Q266">
        <v>3</v>
      </c>
      <c r="R266">
        <v>0</v>
      </c>
      <c r="S266">
        <v>537384</v>
      </c>
      <c r="T266">
        <v>558320</v>
      </c>
      <c r="U266" t="s">
        <v>42</v>
      </c>
      <c r="V266">
        <v>1</v>
      </c>
      <c r="W266">
        <v>0</v>
      </c>
      <c r="X266">
        <v>-20936</v>
      </c>
      <c r="Y266">
        <v>-3.6999999999999998E-2</v>
      </c>
    </row>
    <row r="267" spans="1:25" x14ac:dyDescent="0.25">
      <c r="A267" t="s">
        <v>340</v>
      </c>
      <c r="B267">
        <v>46200</v>
      </c>
      <c r="C267">
        <v>46204</v>
      </c>
      <c r="D267" t="s">
        <v>35</v>
      </c>
      <c r="E267" t="s">
        <v>57</v>
      </c>
      <c r="F267" t="s">
        <v>46</v>
      </c>
      <c r="G267" t="s">
        <v>47</v>
      </c>
      <c r="H267" t="s">
        <v>48</v>
      </c>
      <c r="I267" t="s">
        <v>68</v>
      </c>
      <c r="J267" t="s">
        <v>69</v>
      </c>
      <c r="K267" t="s">
        <v>41</v>
      </c>
      <c r="L267">
        <v>124</v>
      </c>
      <c r="M267">
        <v>124</v>
      </c>
      <c r="N267">
        <v>0</v>
      </c>
      <c r="O267">
        <v>627</v>
      </c>
      <c r="P267">
        <v>3</v>
      </c>
      <c r="Q267">
        <v>4</v>
      </c>
      <c r="R267">
        <v>1</v>
      </c>
      <c r="S267">
        <v>868026</v>
      </c>
      <c r="T267">
        <v>958433</v>
      </c>
      <c r="U267" t="s">
        <v>33</v>
      </c>
      <c r="V267">
        <v>0</v>
      </c>
      <c r="W267">
        <v>0</v>
      </c>
      <c r="X267">
        <v>-90407</v>
      </c>
      <c r="Y267">
        <v>-9.4E-2</v>
      </c>
    </row>
    <row r="268" spans="1:25" x14ac:dyDescent="0.25">
      <c r="A268" t="s">
        <v>341</v>
      </c>
      <c r="B268">
        <v>46208</v>
      </c>
      <c r="C268">
        <v>46214</v>
      </c>
      <c r="D268" t="s">
        <v>77</v>
      </c>
      <c r="E268" t="s">
        <v>36</v>
      </c>
      <c r="F268" t="s">
        <v>63</v>
      </c>
      <c r="G268" t="s">
        <v>39</v>
      </c>
      <c r="H268" t="s">
        <v>40</v>
      </c>
      <c r="I268" t="s">
        <v>72</v>
      </c>
      <c r="J268" t="s">
        <v>72</v>
      </c>
      <c r="K268" t="s">
        <v>41</v>
      </c>
      <c r="L268">
        <v>89</v>
      </c>
      <c r="M268">
        <v>88</v>
      </c>
      <c r="N268">
        <v>1</v>
      </c>
      <c r="O268">
        <v>794</v>
      </c>
      <c r="P268">
        <v>6</v>
      </c>
      <c r="Q268">
        <v>6</v>
      </c>
      <c r="R268">
        <v>0</v>
      </c>
      <c r="S268">
        <v>1333462</v>
      </c>
      <c r="T268">
        <v>1293027</v>
      </c>
      <c r="U268" t="s">
        <v>42</v>
      </c>
      <c r="V268">
        <v>1</v>
      </c>
      <c r="W268">
        <v>1.0999999999999999E-2</v>
      </c>
      <c r="X268">
        <v>40435</v>
      </c>
      <c r="Y268">
        <v>3.1E-2</v>
      </c>
    </row>
    <row r="269" spans="1:25" x14ac:dyDescent="0.25">
      <c r="A269" t="s">
        <v>342</v>
      </c>
      <c r="B269">
        <v>46044</v>
      </c>
      <c r="C269">
        <v>46049</v>
      </c>
      <c r="D269" t="s">
        <v>62</v>
      </c>
      <c r="E269" t="s">
        <v>36</v>
      </c>
      <c r="F269" t="s">
        <v>53</v>
      </c>
      <c r="G269" t="s">
        <v>47</v>
      </c>
      <c r="H269" t="s">
        <v>48</v>
      </c>
      <c r="I269" t="s">
        <v>39</v>
      </c>
      <c r="J269" t="s">
        <v>40</v>
      </c>
      <c r="K269" t="s">
        <v>41</v>
      </c>
      <c r="L269">
        <v>143</v>
      </c>
      <c r="M269">
        <v>137</v>
      </c>
      <c r="N269">
        <v>6</v>
      </c>
      <c r="O269">
        <v>722</v>
      </c>
      <c r="P269">
        <v>5</v>
      </c>
      <c r="Q269">
        <v>5</v>
      </c>
      <c r="R269">
        <v>0</v>
      </c>
      <c r="S269">
        <v>1950424</v>
      </c>
      <c r="T269">
        <v>1911823</v>
      </c>
      <c r="U269" t="s">
        <v>42</v>
      </c>
      <c r="V269">
        <v>1</v>
      </c>
      <c r="W269">
        <v>4.2000000000000003E-2</v>
      </c>
      <c r="X269">
        <v>38601</v>
      </c>
      <c r="Y269">
        <v>0.02</v>
      </c>
    </row>
    <row r="270" spans="1:25" x14ac:dyDescent="0.25">
      <c r="A270" t="s">
        <v>343</v>
      </c>
      <c r="B270">
        <v>46155</v>
      </c>
      <c r="C270">
        <v>46160</v>
      </c>
      <c r="D270" t="s">
        <v>44</v>
      </c>
      <c r="E270" t="s">
        <v>57</v>
      </c>
      <c r="F270" t="s">
        <v>37</v>
      </c>
      <c r="G270" t="s">
        <v>39</v>
      </c>
      <c r="H270" t="s">
        <v>40</v>
      </c>
      <c r="I270" t="s">
        <v>47</v>
      </c>
      <c r="J270" t="s">
        <v>48</v>
      </c>
      <c r="K270" t="s">
        <v>60</v>
      </c>
      <c r="L270">
        <v>125</v>
      </c>
      <c r="M270">
        <v>120</v>
      </c>
      <c r="N270">
        <v>5</v>
      </c>
      <c r="O270">
        <v>409</v>
      </c>
      <c r="P270">
        <v>5</v>
      </c>
      <c r="Q270">
        <v>5</v>
      </c>
      <c r="R270">
        <v>0</v>
      </c>
      <c r="S270">
        <v>843608</v>
      </c>
      <c r="T270">
        <v>794996</v>
      </c>
      <c r="U270" t="s">
        <v>42</v>
      </c>
      <c r="V270">
        <v>1</v>
      </c>
      <c r="W270">
        <v>0.04</v>
      </c>
      <c r="X270">
        <v>48612</v>
      </c>
      <c r="Y270">
        <v>6.0999999999999999E-2</v>
      </c>
    </row>
    <row r="271" spans="1:25" x14ac:dyDescent="0.25">
      <c r="A271" t="s">
        <v>344</v>
      </c>
      <c r="B271">
        <v>46110</v>
      </c>
      <c r="C271">
        <v>46116</v>
      </c>
      <c r="D271" t="s">
        <v>35</v>
      </c>
      <c r="E271" t="s">
        <v>27</v>
      </c>
      <c r="F271" t="s">
        <v>63</v>
      </c>
      <c r="G271" t="s">
        <v>68</v>
      </c>
      <c r="H271" t="s">
        <v>69</v>
      </c>
      <c r="I271" t="s">
        <v>47</v>
      </c>
      <c r="J271" t="s">
        <v>48</v>
      </c>
      <c r="K271" t="s">
        <v>41</v>
      </c>
      <c r="L271">
        <v>133</v>
      </c>
      <c r="M271">
        <v>130</v>
      </c>
      <c r="N271">
        <v>3</v>
      </c>
      <c r="O271">
        <v>220</v>
      </c>
      <c r="P271">
        <v>3</v>
      </c>
      <c r="Q271">
        <v>6</v>
      </c>
      <c r="R271">
        <v>3</v>
      </c>
      <c r="S271">
        <v>1019831</v>
      </c>
      <c r="T271">
        <v>1028664</v>
      </c>
      <c r="U271" t="s">
        <v>33</v>
      </c>
      <c r="V271">
        <v>0</v>
      </c>
      <c r="W271">
        <v>2.3E-2</v>
      </c>
      <c r="X271">
        <v>-8833</v>
      </c>
      <c r="Y271">
        <v>-8.9999999999999993E-3</v>
      </c>
    </row>
    <row r="272" spans="1:25" x14ac:dyDescent="0.25">
      <c r="A272" t="s">
        <v>345</v>
      </c>
      <c r="B272">
        <v>46078</v>
      </c>
      <c r="C272">
        <v>46087</v>
      </c>
      <c r="D272" t="s">
        <v>35</v>
      </c>
      <c r="E272" t="s">
        <v>52</v>
      </c>
      <c r="F272" t="s">
        <v>63</v>
      </c>
      <c r="G272" t="s">
        <v>47</v>
      </c>
      <c r="H272" t="s">
        <v>48</v>
      </c>
      <c r="I272" t="s">
        <v>49</v>
      </c>
      <c r="J272" t="s">
        <v>50</v>
      </c>
      <c r="K272" t="s">
        <v>41</v>
      </c>
      <c r="L272">
        <v>50</v>
      </c>
      <c r="M272">
        <v>50</v>
      </c>
      <c r="N272">
        <v>0</v>
      </c>
      <c r="O272">
        <v>568</v>
      </c>
      <c r="P272">
        <v>6</v>
      </c>
      <c r="Q272">
        <v>9</v>
      </c>
      <c r="R272">
        <v>3</v>
      </c>
      <c r="S272">
        <v>947468</v>
      </c>
      <c r="T272">
        <v>1020680</v>
      </c>
      <c r="U272" t="s">
        <v>33</v>
      </c>
      <c r="V272">
        <v>0</v>
      </c>
      <c r="W272">
        <v>0</v>
      </c>
      <c r="X272">
        <v>-73212</v>
      </c>
      <c r="Y272">
        <v>-7.1999999999999995E-2</v>
      </c>
    </row>
    <row r="273" spans="1:25" x14ac:dyDescent="0.25">
      <c r="A273" t="s">
        <v>346</v>
      </c>
      <c r="B273">
        <v>46032</v>
      </c>
      <c r="C273">
        <v>46037</v>
      </c>
      <c r="D273" t="s">
        <v>35</v>
      </c>
      <c r="E273" t="s">
        <v>57</v>
      </c>
      <c r="F273" t="s">
        <v>46</v>
      </c>
      <c r="G273" t="s">
        <v>68</v>
      </c>
      <c r="H273" t="s">
        <v>69</v>
      </c>
      <c r="I273" t="s">
        <v>64</v>
      </c>
      <c r="J273" t="s">
        <v>65</v>
      </c>
      <c r="K273" t="s">
        <v>32</v>
      </c>
      <c r="L273">
        <v>154</v>
      </c>
      <c r="M273">
        <v>148</v>
      </c>
      <c r="N273">
        <v>6</v>
      </c>
      <c r="O273">
        <v>449</v>
      </c>
      <c r="P273">
        <v>4</v>
      </c>
      <c r="Q273">
        <v>5</v>
      </c>
      <c r="R273">
        <v>1</v>
      </c>
      <c r="S273">
        <v>807269</v>
      </c>
      <c r="T273">
        <v>881338</v>
      </c>
      <c r="U273" t="s">
        <v>33</v>
      </c>
      <c r="V273">
        <v>0</v>
      </c>
      <c r="W273">
        <v>3.9E-2</v>
      </c>
      <c r="X273">
        <v>-74069</v>
      </c>
      <c r="Y273">
        <v>-8.4000000000000005E-2</v>
      </c>
    </row>
    <row r="274" spans="1:25" x14ac:dyDescent="0.25">
      <c r="A274" t="s">
        <v>347</v>
      </c>
      <c r="B274">
        <v>46191</v>
      </c>
      <c r="C274">
        <v>46196</v>
      </c>
      <c r="D274" t="s">
        <v>77</v>
      </c>
      <c r="E274" t="s">
        <v>67</v>
      </c>
      <c r="F274" t="s">
        <v>46</v>
      </c>
      <c r="G274" t="s">
        <v>68</v>
      </c>
      <c r="H274" t="s">
        <v>69</v>
      </c>
      <c r="I274" t="s">
        <v>47</v>
      </c>
      <c r="J274" t="s">
        <v>48</v>
      </c>
      <c r="K274" t="s">
        <v>41</v>
      </c>
      <c r="L274">
        <v>120</v>
      </c>
      <c r="M274">
        <v>117</v>
      </c>
      <c r="N274">
        <v>3</v>
      </c>
      <c r="O274">
        <v>519</v>
      </c>
      <c r="P274">
        <v>3</v>
      </c>
      <c r="Q274">
        <v>5</v>
      </c>
      <c r="R274">
        <v>2</v>
      </c>
      <c r="S274">
        <v>1026204</v>
      </c>
      <c r="T274">
        <v>1032280</v>
      </c>
      <c r="U274" t="s">
        <v>33</v>
      </c>
      <c r="V274">
        <v>0</v>
      </c>
      <c r="W274">
        <v>2.5000000000000001E-2</v>
      </c>
      <c r="X274">
        <v>-6076</v>
      </c>
      <c r="Y274">
        <v>-6.0000000000000001E-3</v>
      </c>
    </row>
    <row r="275" spans="1:25" x14ac:dyDescent="0.25">
      <c r="A275" t="s">
        <v>348</v>
      </c>
      <c r="B275">
        <v>46152</v>
      </c>
      <c r="C275">
        <v>46158</v>
      </c>
      <c r="D275" t="s">
        <v>57</v>
      </c>
      <c r="E275" t="s">
        <v>103</v>
      </c>
      <c r="F275" t="s">
        <v>37</v>
      </c>
      <c r="G275" t="s">
        <v>54</v>
      </c>
      <c r="H275" t="s">
        <v>55</v>
      </c>
      <c r="I275" t="s">
        <v>72</v>
      </c>
      <c r="J275" t="s">
        <v>72</v>
      </c>
      <c r="K275" t="s">
        <v>41</v>
      </c>
      <c r="L275">
        <v>126</v>
      </c>
      <c r="M275">
        <v>123</v>
      </c>
      <c r="N275">
        <v>3</v>
      </c>
      <c r="O275">
        <v>674</v>
      </c>
      <c r="P275">
        <v>2</v>
      </c>
      <c r="Q275">
        <v>6</v>
      </c>
      <c r="R275">
        <v>4</v>
      </c>
      <c r="S275">
        <v>1997062</v>
      </c>
      <c r="T275">
        <v>1884593</v>
      </c>
      <c r="U275" t="s">
        <v>75</v>
      </c>
      <c r="V275">
        <v>0</v>
      </c>
      <c r="W275">
        <v>2.4E-2</v>
      </c>
      <c r="X275">
        <v>112469</v>
      </c>
      <c r="Y275">
        <v>0.06</v>
      </c>
    </row>
    <row r="276" spans="1:25" x14ac:dyDescent="0.25">
      <c r="A276" t="s">
        <v>349</v>
      </c>
      <c r="B276">
        <v>46152</v>
      </c>
      <c r="C276">
        <v>46160</v>
      </c>
      <c r="D276" t="s">
        <v>62</v>
      </c>
      <c r="E276" t="s">
        <v>67</v>
      </c>
      <c r="F276" t="s">
        <v>28</v>
      </c>
      <c r="G276" t="s">
        <v>91</v>
      </c>
      <c r="H276" t="s">
        <v>92</v>
      </c>
      <c r="I276" t="s">
        <v>47</v>
      </c>
      <c r="J276" t="s">
        <v>48</v>
      </c>
      <c r="K276" t="s">
        <v>32</v>
      </c>
      <c r="L276">
        <v>141</v>
      </c>
      <c r="M276">
        <v>140</v>
      </c>
      <c r="N276">
        <v>1</v>
      </c>
      <c r="O276">
        <v>199</v>
      </c>
      <c r="P276">
        <v>7</v>
      </c>
      <c r="Q276">
        <v>8</v>
      </c>
      <c r="R276">
        <v>1</v>
      </c>
      <c r="S276">
        <v>1226665</v>
      </c>
      <c r="T276">
        <v>1342331</v>
      </c>
      <c r="U276" t="s">
        <v>33</v>
      </c>
      <c r="V276">
        <v>0</v>
      </c>
      <c r="W276">
        <v>7.0000000000000001E-3</v>
      </c>
      <c r="X276">
        <v>-115666</v>
      </c>
      <c r="Y276">
        <v>-8.5999999999999993E-2</v>
      </c>
    </row>
    <row r="277" spans="1:25" x14ac:dyDescent="0.25">
      <c r="A277" t="s">
        <v>350</v>
      </c>
      <c r="B277">
        <v>46155</v>
      </c>
      <c r="C277">
        <v>46160</v>
      </c>
      <c r="D277" t="s">
        <v>44</v>
      </c>
      <c r="E277" t="s">
        <v>52</v>
      </c>
      <c r="F277" t="s">
        <v>63</v>
      </c>
      <c r="G277" t="s">
        <v>73</v>
      </c>
      <c r="H277" t="s">
        <v>74</v>
      </c>
      <c r="I277" t="s">
        <v>68</v>
      </c>
      <c r="J277" t="s">
        <v>69</v>
      </c>
      <c r="K277" t="s">
        <v>41</v>
      </c>
      <c r="L277">
        <v>52</v>
      </c>
      <c r="M277">
        <v>50</v>
      </c>
      <c r="N277">
        <v>2</v>
      </c>
      <c r="O277">
        <v>457</v>
      </c>
      <c r="P277">
        <v>4</v>
      </c>
      <c r="Q277">
        <v>5</v>
      </c>
      <c r="R277">
        <v>1</v>
      </c>
      <c r="S277">
        <v>703166</v>
      </c>
      <c r="T277">
        <v>694335</v>
      </c>
      <c r="U277" t="s">
        <v>33</v>
      </c>
      <c r="V277">
        <v>0</v>
      </c>
      <c r="W277">
        <v>3.7999999999999999E-2</v>
      </c>
      <c r="X277">
        <v>8831</v>
      </c>
      <c r="Y277">
        <v>1.2999999999999999E-2</v>
      </c>
    </row>
    <row r="278" spans="1:25" x14ac:dyDescent="0.25">
      <c r="A278" t="s">
        <v>351</v>
      </c>
      <c r="B278">
        <v>46075</v>
      </c>
      <c r="C278">
        <v>46082</v>
      </c>
      <c r="D278" t="s">
        <v>62</v>
      </c>
      <c r="E278" t="s">
        <v>27</v>
      </c>
      <c r="F278" t="s">
        <v>37</v>
      </c>
      <c r="G278" t="s">
        <v>88</v>
      </c>
      <c r="H278" t="s">
        <v>89</v>
      </c>
      <c r="I278" t="s">
        <v>49</v>
      </c>
      <c r="J278" t="s">
        <v>50</v>
      </c>
      <c r="K278" t="s">
        <v>41</v>
      </c>
      <c r="L278">
        <v>107</v>
      </c>
      <c r="M278">
        <v>104</v>
      </c>
      <c r="N278">
        <v>3</v>
      </c>
      <c r="O278">
        <v>845</v>
      </c>
      <c r="P278">
        <v>4</v>
      </c>
      <c r="Q278">
        <v>7</v>
      </c>
      <c r="R278">
        <v>3</v>
      </c>
      <c r="S278">
        <v>831594</v>
      </c>
      <c r="T278">
        <v>866743</v>
      </c>
      <c r="U278" t="s">
        <v>33</v>
      </c>
      <c r="V278">
        <v>0</v>
      </c>
      <c r="W278">
        <v>2.8000000000000001E-2</v>
      </c>
      <c r="X278">
        <v>-35149</v>
      </c>
      <c r="Y278">
        <v>-4.1000000000000002E-2</v>
      </c>
    </row>
    <row r="279" spans="1:25" x14ac:dyDescent="0.25">
      <c r="A279" t="s">
        <v>352</v>
      </c>
      <c r="B279">
        <v>46170</v>
      </c>
      <c r="C279">
        <v>46173</v>
      </c>
      <c r="D279" t="s">
        <v>57</v>
      </c>
      <c r="E279" t="s">
        <v>45</v>
      </c>
      <c r="F279" t="s">
        <v>37</v>
      </c>
      <c r="G279" t="s">
        <v>49</v>
      </c>
      <c r="H279" t="s">
        <v>50</v>
      </c>
      <c r="I279" t="s">
        <v>39</v>
      </c>
      <c r="J279" t="s">
        <v>40</v>
      </c>
      <c r="K279" t="s">
        <v>32</v>
      </c>
      <c r="L279">
        <v>124</v>
      </c>
      <c r="M279">
        <v>120</v>
      </c>
      <c r="N279">
        <v>4</v>
      </c>
      <c r="O279">
        <v>848</v>
      </c>
      <c r="P279">
        <v>1</v>
      </c>
      <c r="Q279">
        <v>3</v>
      </c>
      <c r="R279">
        <v>2</v>
      </c>
      <c r="S279">
        <v>1247312</v>
      </c>
      <c r="T279">
        <v>1352432</v>
      </c>
      <c r="U279" t="s">
        <v>33</v>
      </c>
      <c r="V279">
        <v>0</v>
      </c>
      <c r="W279">
        <v>3.2000000000000001E-2</v>
      </c>
      <c r="X279">
        <v>-105120</v>
      </c>
      <c r="Y279">
        <v>-7.8E-2</v>
      </c>
    </row>
    <row r="280" spans="1:25" x14ac:dyDescent="0.25">
      <c r="A280" t="s">
        <v>353</v>
      </c>
      <c r="B280">
        <v>46225</v>
      </c>
      <c r="C280">
        <v>46228</v>
      </c>
      <c r="D280" t="s">
        <v>77</v>
      </c>
      <c r="E280" t="s">
        <v>57</v>
      </c>
      <c r="F280" t="s">
        <v>53</v>
      </c>
      <c r="G280" t="s">
        <v>91</v>
      </c>
      <c r="H280" t="s">
        <v>92</v>
      </c>
      <c r="I280" t="s">
        <v>64</v>
      </c>
      <c r="J280" t="s">
        <v>65</v>
      </c>
      <c r="K280" t="s">
        <v>41</v>
      </c>
      <c r="L280">
        <v>19</v>
      </c>
      <c r="M280">
        <v>19</v>
      </c>
      <c r="N280">
        <v>0</v>
      </c>
      <c r="O280">
        <v>163</v>
      </c>
      <c r="P280">
        <v>3</v>
      </c>
      <c r="Q280">
        <v>3</v>
      </c>
      <c r="R280">
        <v>0</v>
      </c>
      <c r="S280">
        <v>251393</v>
      </c>
      <c r="T280">
        <v>250780</v>
      </c>
      <c r="U280" t="s">
        <v>42</v>
      </c>
      <c r="V280">
        <v>1</v>
      </c>
      <c r="W280">
        <v>0</v>
      </c>
      <c r="X280">
        <v>613</v>
      </c>
      <c r="Y280">
        <v>2E-3</v>
      </c>
    </row>
    <row r="281" spans="1:25" x14ac:dyDescent="0.25">
      <c r="A281" t="s">
        <v>354</v>
      </c>
      <c r="B281">
        <v>46075</v>
      </c>
      <c r="C281">
        <v>46076</v>
      </c>
      <c r="D281" t="s">
        <v>57</v>
      </c>
      <c r="E281" t="s">
        <v>36</v>
      </c>
      <c r="F281" t="s">
        <v>37</v>
      </c>
      <c r="G281" t="s">
        <v>30</v>
      </c>
      <c r="H281" t="s">
        <v>31</v>
      </c>
      <c r="I281" t="s">
        <v>64</v>
      </c>
      <c r="J281" t="s">
        <v>65</v>
      </c>
      <c r="K281" t="s">
        <v>41</v>
      </c>
      <c r="L281">
        <v>49</v>
      </c>
      <c r="M281">
        <v>47</v>
      </c>
      <c r="N281">
        <v>2</v>
      </c>
      <c r="O281">
        <v>359</v>
      </c>
      <c r="P281">
        <v>1</v>
      </c>
      <c r="Q281">
        <v>1</v>
      </c>
      <c r="R281">
        <v>0</v>
      </c>
      <c r="S281">
        <v>460842</v>
      </c>
      <c r="T281">
        <v>510847</v>
      </c>
      <c r="U281" t="s">
        <v>42</v>
      </c>
      <c r="V281">
        <v>1</v>
      </c>
      <c r="W281">
        <v>4.1000000000000002E-2</v>
      </c>
      <c r="X281">
        <v>-50005</v>
      </c>
      <c r="Y281">
        <v>-9.8000000000000004E-2</v>
      </c>
    </row>
    <row r="282" spans="1:25" x14ac:dyDescent="0.25">
      <c r="A282" t="s">
        <v>355</v>
      </c>
      <c r="B282">
        <v>46090</v>
      </c>
      <c r="C282">
        <v>46096</v>
      </c>
      <c r="D282" t="s">
        <v>44</v>
      </c>
      <c r="E282" t="s">
        <v>103</v>
      </c>
      <c r="F282" t="s">
        <v>46</v>
      </c>
      <c r="G282" t="s">
        <v>91</v>
      </c>
      <c r="H282" t="s">
        <v>92</v>
      </c>
      <c r="I282" t="s">
        <v>54</v>
      </c>
      <c r="J282" t="s">
        <v>55</v>
      </c>
      <c r="K282" t="s">
        <v>41</v>
      </c>
      <c r="L282">
        <v>136</v>
      </c>
      <c r="M282">
        <v>132</v>
      </c>
      <c r="N282">
        <v>4</v>
      </c>
      <c r="O282">
        <v>531</v>
      </c>
      <c r="P282">
        <v>4</v>
      </c>
      <c r="Q282">
        <v>6</v>
      </c>
      <c r="R282">
        <v>2</v>
      </c>
      <c r="S282">
        <v>1941155</v>
      </c>
      <c r="T282">
        <v>1803456</v>
      </c>
      <c r="U282" t="s">
        <v>33</v>
      </c>
      <c r="V282">
        <v>0</v>
      </c>
      <c r="W282">
        <v>2.9000000000000001E-2</v>
      </c>
      <c r="X282">
        <v>137699</v>
      </c>
      <c r="Y282">
        <v>7.5999999999999998E-2</v>
      </c>
    </row>
    <row r="283" spans="1:25" x14ac:dyDescent="0.25">
      <c r="A283" t="s">
        <v>356</v>
      </c>
      <c r="B283">
        <v>46185</v>
      </c>
      <c r="C283">
        <v>46193</v>
      </c>
      <c r="D283" t="s">
        <v>62</v>
      </c>
      <c r="E283" t="s">
        <v>103</v>
      </c>
      <c r="F283" t="s">
        <v>28</v>
      </c>
      <c r="G283" t="s">
        <v>64</v>
      </c>
      <c r="H283" t="s">
        <v>65</v>
      </c>
      <c r="I283" t="s">
        <v>39</v>
      </c>
      <c r="J283" t="s">
        <v>40</v>
      </c>
      <c r="K283" t="s">
        <v>32</v>
      </c>
      <c r="L283">
        <v>52</v>
      </c>
      <c r="M283">
        <v>51</v>
      </c>
      <c r="N283">
        <v>1</v>
      </c>
      <c r="O283">
        <v>433</v>
      </c>
      <c r="P283">
        <v>5</v>
      </c>
      <c r="Q283">
        <v>8</v>
      </c>
      <c r="R283">
        <v>3</v>
      </c>
      <c r="S283">
        <v>658810</v>
      </c>
      <c r="T283">
        <v>683016</v>
      </c>
      <c r="U283" t="s">
        <v>33</v>
      </c>
      <c r="V283">
        <v>0</v>
      </c>
      <c r="W283">
        <v>1.9E-2</v>
      </c>
      <c r="X283">
        <v>-24206</v>
      </c>
      <c r="Y283">
        <v>-3.5000000000000003E-2</v>
      </c>
    </row>
    <row r="284" spans="1:25" x14ac:dyDescent="0.25">
      <c r="A284" t="s">
        <v>357</v>
      </c>
      <c r="B284">
        <v>46125</v>
      </c>
      <c r="C284">
        <v>46130</v>
      </c>
      <c r="D284" t="s">
        <v>57</v>
      </c>
      <c r="E284" t="s">
        <v>27</v>
      </c>
      <c r="F284" t="s">
        <v>28</v>
      </c>
      <c r="G284" t="s">
        <v>30</v>
      </c>
      <c r="H284" t="s">
        <v>31</v>
      </c>
      <c r="I284" t="s">
        <v>72</v>
      </c>
      <c r="J284" t="s">
        <v>72</v>
      </c>
      <c r="K284" t="s">
        <v>32</v>
      </c>
      <c r="L284">
        <v>33</v>
      </c>
      <c r="M284">
        <v>32</v>
      </c>
      <c r="N284">
        <v>1</v>
      </c>
      <c r="O284">
        <v>595</v>
      </c>
      <c r="P284">
        <v>4</v>
      </c>
      <c r="Q284">
        <v>5</v>
      </c>
      <c r="R284">
        <v>1</v>
      </c>
      <c r="S284">
        <v>446269</v>
      </c>
      <c r="T284">
        <v>427969</v>
      </c>
      <c r="U284" t="s">
        <v>33</v>
      </c>
      <c r="V284">
        <v>0</v>
      </c>
      <c r="W284">
        <v>0.03</v>
      </c>
      <c r="X284">
        <v>18300</v>
      </c>
      <c r="Y284">
        <v>4.2999999999999997E-2</v>
      </c>
    </row>
    <row r="285" spans="1:25" x14ac:dyDescent="0.25">
      <c r="A285" t="s">
        <v>358</v>
      </c>
      <c r="B285">
        <v>46255</v>
      </c>
      <c r="C285">
        <v>46261</v>
      </c>
      <c r="D285" t="s">
        <v>57</v>
      </c>
      <c r="E285" t="s">
        <v>52</v>
      </c>
      <c r="F285" t="s">
        <v>63</v>
      </c>
      <c r="G285" t="s">
        <v>30</v>
      </c>
      <c r="H285" t="s">
        <v>31</v>
      </c>
      <c r="I285" t="s">
        <v>49</v>
      </c>
      <c r="J285" t="s">
        <v>50</v>
      </c>
      <c r="K285" t="s">
        <v>41</v>
      </c>
      <c r="L285">
        <v>80</v>
      </c>
      <c r="M285">
        <v>78</v>
      </c>
      <c r="N285">
        <v>2</v>
      </c>
      <c r="O285">
        <v>706</v>
      </c>
      <c r="P285">
        <v>4</v>
      </c>
      <c r="Q285">
        <v>6</v>
      </c>
      <c r="R285">
        <v>2</v>
      </c>
      <c r="S285">
        <v>936388</v>
      </c>
      <c r="T285">
        <v>994964</v>
      </c>
      <c r="U285" t="s">
        <v>33</v>
      </c>
      <c r="V285">
        <v>0</v>
      </c>
      <c r="W285">
        <v>2.5000000000000001E-2</v>
      </c>
      <c r="X285">
        <v>-58576</v>
      </c>
      <c r="Y285">
        <v>-5.8999999999999997E-2</v>
      </c>
    </row>
    <row r="286" spans="1:25" x14ac:dyDescent="0.25">
      <c r="A286" t="s">
        <v>359</v>
      </c>
      <c r="B286">
        <v>46120</v>
      </c>
      <c r="C286">
        <v>46128</v>
      </c>
      <c r="D286" t="s">
        <v>26</v>
      </c>
      <c r="E286" t="s">
        <v>85</v>
      </c>
      <c r="F286" t="s">
        <v>46</v>
      </c>
      <c r="G286" t="s">
        <v>80</v>
      </c>
      <c r="H286" t="s">
        <v>80</v>
      </c>
      <c r="I286" t="s">
        <v>58</v>
      </c>
      <c r="J286" t="s">
        <v>59</v>
      </c>
      <c r="K286" t="s">
        <v>41</v>
      </c>
      <c r="L286">
        <v>143</v>
      </c>
      <c r="M286">
        <v>141</v>
      </c>
      <c r="N286">
        <v>2</v>
      </c>
      <c r="O286">
        <v>231</v>
      </c>
      <c r="P286">
        <v>6</v>
      </c>
      <c r="Q286">
        <v>8</v>
      </c>
      <c r="R286">
        <v>2</v>
      </c>
      <c r="S286">
        <v>1476695</v>
      </c>
      <c r="T286">
        <v>1531234</v>
      </c>
      <c r="U286" t="s">
        <v>33</v>
      </c>
      <c r="V286">
        <v>0</v>
      </c>
      <c r="W286">
        <v>1.4E-2</v>
      </c>
      <c r="X286">
        <v>-54539</v>
      </c>
      <c r="Y286">
        <v>-3.5999999999999997E-2</v>
      </c>
    </row>
    <row r="287" spans="1:25" x14ac:dyDescent="0.25">
      <c r="A287" t="s">
        <v>360</v>
      </c>
      <c r="B287">
        <v>46265</v>
      </c>
      <c r="C287">
        <v>46271</v>
      </c>
      <c r="D287" t="s">
        <v>57</v>
      </c>
      <c r="E287" t="s">
        <v>45</v>
      </c>
      <c r="F287" t="s">
        <v>28</v>
      </c>
      <c r="G287" t="s">
        <v>54</v>
      </c>
      <c r="H287" t="s">
        <v>55</v>
      </c>
      <c r="I287" t="s">
        <v>91</v>
      </c>
      <c r="J287" t="s">
        <v>92</v>
      </c>
      <c r="K287" t="s">
        <v>41</v>
      </c>
      <c r="L287">
        <v>65</v>
      </c>
      <c r="M287">
        <v>65</v>
      </c>
      <c r="N287">
        <v>0</v>
      </c>
      <c r="O287">
        <v>153</v>
      </c>
      <c r="P287">
        <v>4</v>
      </c>
      <c r="Q287">
        <v>6</v>
      </c>
      <c r="R287">
        <v>2</v>
      </c>
      <c r="S287">
        <v>736380</v>
      </c>
      <c r="T287">
        <v>745675</v>
      </c>
      <c r="U287" t="s">
        <v>33</v>
      </c>
      <c r="V287">
        <v>0</v>
      </c>
      <c r="W287">
        <v>0</v>
      </c>
      <c r="X287">
        <v>-9295</v>
      </c>
      <c r="Y287">
        <v>-1.2E-2</v>
      </c>
    </row>
    <row r="288" spans="1:25" x14ac:dyDescent="0.25">
      <c r="A288" t="s">
        <v>361</v>
      </c>
      <c r="B288">
        <v>46233</v>
      </c>
      <c r="C288">
        <v>46238</v>
      </c>
      <c r="D288" t="s">
        <v>26</v>
      </c>
      <c r="E288" t="s">
        <v>27</v>
      </c>
      <c r="F288" t="s">
        <v>63</v>
      </c>
      <c r="G288" t="s">
        <v>29</v>
      </c>
      <c r="H288" t="s">
        <v>29</v>
      </c>
      <c r="I288" t="s">
        <v>88</v>
      </c>
      <c r="J288" t="s">
        <v>89</v>
      </c>
      <c r="K288" t="s">
        <v>41</v>
      </c>
      <c r="L288">
        <v>123</v>
      </c>
      <c r="M288">
        <v>122</v>
      </c>
      <c r="N288">
        <v>1</v>
      </c>
      <c r="O288">
        <v>364</v>
      </c>
      <c r="P288">
        <v>5</v>
      </c>
      <c r="Q288">
        <v>5</v>
      </c>
      <c r="R288">
        <v>0</v>
      </c>
      <c r="S288">
        <v>1216116</v>
      </c>
      <c r="T288">
        <v>1208417</v>
      </c>
      <c r="U288" t="s">
        <v>42</v>
      </c>
      <c r="V288">
        <v>1</v>
      </c>
      <c r="W288">
        <v>8.0000000000000002E-3</v>
      </c>
      <c r="X288">
        <v>7699</v>
      </c>
      <c r="Y288">
        <v>6.0000000000000001E-3</v>
      </c>
    </row>
    <row r="289" spans="1:25" x14ac:dyDescent="0.25">
      <c r="A289" t="s">
        <v>362</v>
      </c>
      <c r="B289">
        <v>46031</v>
      </c>
      <c r="C289">
        <v>46039</v>
      </c>
      <c r="D289" t="s">
        <v>62</v>
      </c>
      <c r="E289" t="s">
        <v>57</v>
      </c>
      <c r="F289" t="s">
        <v>63</v>
      </c>
      <c r="G289" t="s">
        <v>73</v>
      </c>
      <c r="H289" t="s">
        <v>74</v>
      </c>
      <c r="I289" t="s">
        <v>47</v>
      </c>
      <c r="J289" t="s">
        <v>48</v>
      </c>
      <c r="K289" t="s">
        <v>41</v>
      </c>
      <c r="L289">
        <v>138</v>
      </c>
      <c r="M289">
        <v>136</v>
      </c>
      <c r="N289">
        <v>2</v>
      </c>
      <c r="O289">
        <v>241</v>
      </c>
      <c r="P289">
        <v>4</v>
      </c>
      <c r="Q289">
        <v>8</v>
      </c>
      <c r="R289">
        <v>4</v>
      </c>
      <c r="S289">
        <v>1035329</v>
      </c>
      <c r="T289">
        <v>1136401</v>
      </c>
      <c r="U289" t="s">
        <v>75</v>
      </c>
      <c r="V289">
        <v>0</v>
      </c>
      <c r="W289">
        <v>1.4E-2</v>
      </c>
      <c r="X289">
        <v>-101072</v>
      </c>
      <c r="Y289">
        <v>-8.8999999999999996E-2</v>
      </c>
    </row>
    <row r="290" spans="1:25" x14ac:dyDescent="0.25">
      <c r="A290" t="s">
        <v>363</v>
      </c>
      <c r="B290">
        <v>46028</v>
      </c>
      <c r="C290">
        <v>46036</v>
      </c>
      <c r="D290" t="s">
        <v>57</v>
      </c>
      <c r="E290" t="s">
        <v>36</v>
      </c>
      <c r="F290" t="s">
        <v>63</v>
      </c>
      <c r="G290" t="s">
        <v>91</v>
      </c>
      <c r="H290" t="s">
        <v>92</v>
      </c>
      <c r="I290" t="s">
        <v>58</v>
      </c>
      <c r="J290" t="s">
        <v>59</v>
      </c>
      <c r="K290" t="s">
        <v>41</v>
      </c>
      <c r="L290">
        <v>129</v>
      </c>
      <c r="M290">
        <v>126</v>
      </c>
      <c r="N290">
        <v>3</v>
      </c>
      <c r="O290">
        <v>792</v>
      </c>
      <c r="P290">
        <v>5</v>
      </c>
      <c r="Q290">
        <v>8</v>
      </c>
      <c r="R290">
        <v>3</v>
      </c>
      <c r="S290">
        <v>1569201</v>
      </c>
      <c r="T290">
        <v>1703101</v>
      </c>
      <c r="U290" t="s">
        <v>33</v>
      </c>
      <c r="V290">
        <v>0</v>
      </c>
      <c r="W290">
        <v>2.3E-2</v>
      </c>
      <c r="X290">
        <v>-133900</v>
      </c>
      <c r="Y290">
        <v>-7.9000000000000001E-2</v>
      </c>
    </row>
    <row r="291" spans="1:25" x14ac:dyDescent="0.25">
      <c r="A291" t="s">
        <v>364</v>
      </c>
      <c r="B291">
        <v>46061</v>
      </c>
      <c r="C291">
        <v>46062</v>
      </c>
      <c r="D291" t="s">
        <v>44</v>
      </c>
      <c r="E291" t="s">
        <v>52</v>
      </c>
      <c r="F291" t="s">
        <v>53</v>
      </c>
      <c r="G291" t="s">
        <v>68</v>
      </c>
      <c r="H291" t="s">
        <v>69</v>
      </c>
      <c r="I291" t="s">
        <v>72</v>
      </c>
      <c r="J291" t="s">
        <v>72</v>
      </c>
      <c r="K291" t="s">
        <v>32</v>
      </c>
      <c r="L291">
        <v>52</v>
      </c>
      <c r="M291">
        <v>50</v>
      </c>
      <c r="N291">
        <v>2</v>
      </c>
      <c r="O291">
        <v>525</v>
      </c>
      <c r="P291">
        <v>1</v>
      </c>
      <c r="Q291">
        <v>1</v>
      </c>
      <c r="R291">
        <v>0</v>
      </c>
      <c r="S291">
        <v>505575</v>
      </c>
      <c r="T291">
        <v>466583</v>
      </c>
      <c r="U291" t="s">
        <v>42</v>
      </c>
      <c r="V291">
        <v>1</v>
      </c>
      <c r="W291">
        <v>3.7999999999999999E-2</v>
      </c>
      <c r="X291">
        <v>38992</v>
      </c>
      <c r="Y291">
        <v>8.4000000000000005E-2</v>
      </c>
    </row>
    <row r="292" spans="1:25" x14ac:dyDescent="0.25">
      <c r="A292" t="s">
        <v>365</v>
      </c>
      <c r="B292">
        <v>46261</v>
      </c>
      <c r="C292">
        <v>46267</v>
      </c>
      <c r="D292" t="s">
        <v>35</v>
      </c>
      <c r="E292" t="s">
        <v>45</v>
      </c>
      <c r="F292" t="s">
        <v>37</v>
      </c>
      <c r="G292" t="s">
        <v>29</v>
      </c>
      <c r="H292" t="s">
        <v>29</v>
      </c>
      <c r="I292" t="s">
        <v>47</v>
      </c>
      <c r="J292" t="s">
        <v>48</v>
      </c>
      <c r="K292" t="s">
        <v>41</v>
      </c>
      <c r="L292">
        <v>89</v>
      </c>
      <c r="M292">
        <v>86</v>
      </c>
      <c r="N292">
        <v>3</v>
      </c>
      <c r="O292">
        <v>149</v>
      </c>
      <c r="P292">
        <v>1</v>
      </c>
      <c r="Q292">
        <v>6</v>
      </c>
      <c r="R292">
        <v>5</v>
      </c>
      <c r="S292">
        <v>437753</v>
      </c>
      <c r="T292">
        <v>458618</v>
      </c>
      <c r="U292" t="s">
        <v>75</v>
      </c>
      <c r="V292">
        <v>0</v>
      </c>
      <c r="W292">
        <v>3.4000000000000002E-2</v>
      </c>
      <c r="X292">
        <v>-20865</v>
      </c>
      <c r="Y292">
        <v>-4.4999999999999998E-2</v>
      </c>
    </row>
    <row r="293" spans="1:25" x14ac:dyDescent="0.25">
      <c r="A293" t="s">
        <v>366</v>
      </c>
      <c r="B293">
        <v>46165</v>
      </c>
      <c r="C293">
        <v>46171</v>
      </c>
      <c r="D293" t="s">
        <v>44</v>
      </c>
      <c r="E293" t="s">
        <v>45</v>
      </c>
      <c r="F293" t="s">
        <v>46</v>
      </c>
      <c r="G293" t="s">
        <v>29</v>
      </c>
      <c r="H293" t="s">
        <v>29</v>
      </c>
      <c r="I293" t="s">
        <v>38</v>
      </c>
      <c r="J293" t="s">
        <v>38</v>
      </c>
      <c r="K293" t="s">
        <v>32</v>
      </c>
      <c r="L293">
        <v>63</v>
      </c>
      <c r="M293">
        <v>61</v>
      </c>
      <c r="N293">
        <v>2</v>
      </c>
      <c r="O293">
        <v>587</v>
      </c>
      <c r="P293">
        <v>6</v>
      </c>
      <c r="Q293">
        <v>6</v>
      </c>
      <c r="R293">
        <v>0</v>
      </c>
      <c r="S293">
        <v>892419</v>
      </c>
      <c r="T293">
        <v>909222</v>
      </c>
      <c r="U293" t="s">
        <v>42</v>
      </c>
      <c r="V293">
        <v>1</v>
      </c>
      <c r="W293">
        <v>3.2000000000000001E-2</v>
      </c>
      <c r="X293">
        <v>-16803</v>
      </c>
      <c r="Y293">
        <v>-1.7999999999999999E-2</v>
      </c>
    </row>
    <row r="294" spans="1:25" x14ac:dyDescent="0.25">
      <c r="A294" t="s">
        <v>367</v>
      </c>
      <c r="B294">
        <v>46058</v>
      </c>
      <c r="C294">
        <v>46063</v>
      </c>
      <c r="D294" t="s">
        <v>35</v>
      </c>
      <c r="E294" t="s">
        <v>103</v>
      </c>
      <c r="F294" t="s">
        <v>28</v>
      </c>
      <c r="G294" t="s">
        <v>54</v>
      </c>
      <c r="H294" t="s">
        <v>55</v>
      </c>
      <c r="I294" t="s">
        <v>80</v>
      </c>
      <c r="J294" t="s">
        <v>80</v>
      </c>
      <c r="K294" t="s">
        <v>32</v>
      </c>
      <c r="L294">
        <v>59</v>
      </c>
      <c r="M294">
        <v>56</v>
      </c>
      <c r="N294">
        <v>3</v>
      </c>
      <c r="O294">
        <v>718</v>
      </c>
      <c r="P294">
        <v>3</v>
      </c>
      <c r="Q294">
        <v>5</v>
      </c>
      <c r="R294">
        <v>2</v>
      </c>
      <c r="S294">
        <v>841161</v>
      </c>
      <c r="T294">
        <v>802022</v>
      </c>
      <c r="U294" t="s">
        <v>33</v>
      </c>
      <c r="V294">
        <v>0</v>
      </c>
      <c r="W294">
        <v>5.0999999999999997E-2</v>
      </c>
      <c r="X294">
        <v>39139</v>
      </c>
      <c r="Y294">
        <v>4.9000000000000002E-2</v>
      </c>
    </row>
    <row r="295" spans="1:25" x14ac:dyDescent="0.25">
      <c r="A295" t="s">
        <v>368</v>
      </c>
      <c r="B295">
        <v>46091</v>
      </c>
      <c r="C295">
        <v>46096</v>
      </c>
      <c r="D295" t="s">
        <v>26</v>
      </c>
      <c r="E295" t="s">
        <v>67</v>
      </c>
      <c r="F295" t="s">
        <v>53</v>
      </c>
      <c r="G295" t="s">
        <v>91</v>
      </c>
      <c r="H295" t="s">
        <v>92</v>
      </c>
      <c r="I295" t="s">
        <v>73</v>
      </c>
      <c r="J295" t="s">
        <v>74</v>
      </c>
      <c r="K295" t="s">
        <v>32</v>
      </c>
      <c r="L295">
        <v>147</v>
      </c>
      <c r="M295">
        <v>144</v>
      </c>
      <c r="N295">
        <v>3</v>
      </c>
      <c r="O295">
        <v>640</v>
      </c>
      <c r="P295">
        <v>4</v>
      </c>
      <c r="Q295">
        <v>5</v>
      </c>
      <c r="R295">
        <v>1</v>
      </c>
      <c r="S295">
        <v>2373067</v>
      </c>
      <c r="T295">
        <v>2500149</v>
      </c>
      <c r="U295" t="s">
        <v>33</v>
      </c>
      <c r="V295">
        <v>0</v>
      </c>
      <c r="W295">
        <v>0.02</v>
      </c>
      <c r="X295">
        <v>-127082</v>
      </c>
      <c r="Y295">
        <v>-5.0999999999999997E-2</v>
      </c>
    </row>
    <row r="296" spans="1:25" x14ac:dyDescent="0.25">
      <c r="A296" t="s">
        <v>369</v>
      </c>
      <c r="B296">
        <v>46145</v>
      </c>
      <c r="C296">
        <v>46147</v>
      </c>
      <c r="D296" t="s">
        <v>44</v>
      </c>
      <c r="E296" t="s">
        <v>27</v>
      </c>
      <c r="F296" t="s">
        <v>46</v>
      </c>
      <c r="G296" t="s">
        <v>58</v>
      </c>
      <c r="H296" t="s">
        <v>59</v>
      </c>
      <c r="I296" t="s">
        <v>72</v>
      </c>
      <c r="J296" t="s">
        <v>72</v>
      </c>
      <c r="K296" t="s">
        <v>32</v>
      </c>
      <c r="L296">
        <v>44</v>
      </c>
      <c r="M296">
        <v>43</v>
      </c>
      <c r="N296">
        <v>1</v>
      </c>
      <c r="O296">
        <v>142</v>
      </c>
      <c r="P296">
        <v>2</v>
      </c>
      <c r="Q296">
        <v>2</v>
      </c>
      <c r="R296">
        <v>0</v>
      </c>
      <c r="S296">
        <v>454270</v>
      </c>
      <c r="T296">
        <v>500624</v>
      </c>
      <c r="U296" t="s">
        <v>42</v>
      </c>
      <c r="V296">
        <v>1</v>
      </c>
      <c r="W296">
        <v>2.3E-2</v>
      </c>
      <c r="X296">
        <v>-46354</v>
      </c>
      <c r="Y296">
        <v>-9.2999999999999999E-2</v>
      </c>
    </row>
    <row r="297" spans="1:25" x14ac:dyDescent="0.25">
      <c r="A297" t="s">
        <v>370</v>
      </c>
      <c r="B297">
        <v>46062</v>
      </c>
      <c r="C297">
        <v>46065</v>
      </c>
      <c r="D297" t="s">
        <v>77</v>
      </c>
      <c r="E297" t="s">
        <v>45</v>
      </c>
      <c r="F297" t="s">
        <v>37</v>
      </c>
      <c r="G297" t="s">
        <v>91</v>
      </c>
      <c r="H297" t="s">
        <v>92</v>
      </c>
      <c r="I297" t="s">
        <v>58</v>
      </c>
      <c r="J297" t="s">
        <v>59</v>
      </c>
      <c r="K297" t="s">
        <v>41</v>
      </c>
      <c r="L297">
        <v>112</v>
      </c>
      <c r="M297">
        <v>110</v>
      </c>
      <c r="N297">
        <v>2</v>
      </c>
      <c r="O297">
        <v>835</v>
      </c>
      <c r="P297">
        <v>1</v>
      </c>
      <c r="Q297">
        <v>3</v>
      </c>
      <c r="R297">
        <v>2</v>
      </c>
      <c r="S297">
        <v>1456230</v>
      </c>
      <c r="T297">
        <v>1463026</v>
      </c>
      <c r="U297" t="s">
        <v>33</v>
      </c>
      <c r="V297">
        <v>0</v>
      </c>
      <c r="W297">
        <v>1.7999999999999999E-2</v>
      </c>
      <c r="X297">
        <v>-6796</v>
      </c>
      <c r="Y297">
        <v>-5.0000000000000001E-3</v>
      </c>
    </row>
    <row r="298" spans="1:25" x14ac:dyDescent="0.25">
      <c r="A298" t="s">
        <v>371</v>
      </c>
      <c r="B298">
        <v>46213</v>
      </c>
      <c r="C298">
        <v>46219</v>
      </c>
      <c r="D298" t="s">
        <v>62</v>
      </c>
      <c r="E298" t="s">
        <v>103</v>
      </c>
      <c r="F298" t="s">
        <v>53</v>
      </c>
      <c r="G298" t="s">
        <v>29</v>
      </c>
      <c r="H298" t="s">
        <v>29</v>
      </c>
      <c r="I298" t="s">
        <v>68</v>
      </c>
      <c r="J298" t="s">
        <v>69</v>
      </c>
      <c r="K298" t="s">
        <v>41</v>
      </c>
      <c r="L298">
        <v>92</v>
      </c>
      <c r="M298">
        <v>90</v>
      </c>
      <c r="N298">
        <v>2</v>
      </c>
      <c r="O298">
        <v>280</v>
      </c>
      <c r="P298">
        <v>6</v>
      </c>
      <c r="Q298">
        <v>6</v>
      </c>
      <c r="R298">
        <v>0</v>
      </c>
      <c r="S298">
        <v>994120</v>
      </c>
      <c r="T298">
        <v>1112865</v>
      </c>
      <c r="U298" t="s">
        <v>42</v>
      </c>
      <c r="V298">
        <v>1</v>
      </c>
      <c r="W298">
        <v>2.1999999999999999E-2</v>
      </c>
      <c r="X298">
        <v>-118745</v>
      </c>
      <c r="Y298">
        <v>-0.107</v>
      </c>
    </row>
    <row r="299" spans="1:25" x14ac:dyDescent="0.25">
      <c r="A299" t="s">
        <v>372</v>
      </c>
      <c r="B299">
        <v>46079</v>
      </c>
      <c r="C299">
        <v>46089</v>
      </c>
      <c r="D299" t="s">
        <v>77</v>
      </c>
      <c r="E299" t="s">
        <v>67</v>
      </c>
      <c r="F299" t="s">
        <v>28</v>
      </c>
      <c r="G299" t="s">
        <v>39</v>
      </c>
      <c r="H299" t="s">
        <v>40</v>
      </c>
      <c r="I299" t="s">
        <v>29</v>
      </c>
      <c r="J299" t="s">
        <v>29</v>
      </c>
      <c r="K299" t="s">
        <v>32</v>
      </c>
      <c r="L299">
        <v>68</v>
      </c>
      <c r="M299">
        <v>67</v>
      </c>
      <c r="N299">
        <v>1</v>
      </c>
      <c r="O299">
        <v>834</v>
      </c>
      <c r="P299">
        <v>7</v>
      </c>
      <c r="Q299">
        <v>10</v>
      </c>
      <c r="R299">
        <v>3</v>
      </c>
      <c r="S299">
        <v>1386256</v>
      </c>
      <c r="T299">
        <v>1428364</v>
      </c>
      <c r="U299" t="s">
        <v>33</v>
      </c>
      <c r="V299">
        <v>0</v>
      </c>
      <c r="W299">
        <v>1.4999999999999999E-2</v>
      </c>
      <c r="X299">
        <v>-42108</v>
      </c>
      <c r="Y299">
        <v>-2.9000000000000001E-2</v>
      </c>
    </row>
    <row r="300" spans="1:25" x14ac:dyDescent="0.25">
      <c r="A300" t="s">
        <v>373</v>
      </c>
      <c r="B300">
        <v>46076</v>
      </c>
      <c r="C300">
        <v>46079</v>
      </c>
      <c r="D300" t="s">
        <v>26</v>
      </c>
      <c r="E300" t="s">
        <v>85</v>
      </c>
      <c r="F300" t="s">
        <v>63</v>
      </c>
      <c r="G300" t="s">
        <v>80</v>
      </c>
      <c r="H300" t="s">
        <v>80</v>
      </c>
      <c r="I300" t="s">
        <v>30</v>
      </c>
      <c r="J300" t="s">
        <v>31</v>
      </c>
      <c r="K300" t="s">
        <v>32</v>
      </c>
      <c r="L300">
        <v>56</v>
      </c>
      <c r="M300">
        <v>56</v>
      </c>
      <c r="N300">
        <v>0</v>
      </c>
      <c r="O300">
        <v>807</v>
      </c>
      <c r="P300">
        <v>3</v>
      </c>
      <c r="Q300">
        <v>3</v>
      </c>
      <c r="R300">
        <v>0</v>
      </c>
      <c r="S300">
        <v>811199</v>
      </c>
      <c r="T300">
        <v>904174</v>
      </c>
      <c r="U300" t="s">
        <v>42</v>
      </c>
      <c r="V300">
        <v>1</v>
      </c>
      <c r="W300">
        <v>0</v>
      </c>
      <c r="X300">
        <v>-92975</v>
      </c>
      <c r="Y300">
        <v>-0.10299999999999999</v>
      </c>
    </row>
    <row r="301" spans="1:25" x14ac:dyDescent="0.25">
      <c r="A301" t="s">
        <v>374</v>
      </c>
      <c r="B301">
        <v>46086</v>
      </c>
      <c r="C301">
        <v>46091</v>
      </c>
      <c r="D301" t="s">
        <v>44</v>
      </c>
      <c r="E301" t="s">
        <v>85</v>
      </c>
      <c r="F301" t="s">
        <v>28</v>
      </c>
      <c r="G301" t="s">
        <v>54</v>
      </c>
      <c r="H301" t="s">
        <v>55</v>
      </c>
      <c r="I301" t="s">
        <v>38</v>
      </c>
      <c r="J301" t="s">
        <v>38</v>
      </c>
      <c r="K301" t="s">
        <v>32</v>
      </c>
      <c r="L301">
        <v>129</v>
      </c>
      <c r="M301">
        <v>127</v>
      </c>
      <c r="N301">
        <v>2</v>
      </c>
      <c r="O301">
        <v>37</v>
      </c>
      <c r="P301">
        <v>5</v>
      </c>
      <c r="Q301">
        <v>5</v>
      </c>
      <c r="R301">
        <v>0</v>
      </c>
      <c r="S301">
        <v>1122649</v>
      </c>
      <c r="T301">
        <v>1071033</v>
      </c>
      <c r="U301" t="s">
        <v>42</v>
      </c>
      <c r="V301">
        <v>1</v>
      </c>
      <c r="W301">
        <v>1.6E-2</v>
      </c>
      <c r="X301">
        <v>51616</v>
      </c>
      <c r="Y301">
        <v>4.8000000000000001E-2</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C9D8B-2845-49B7-B75F-437D762EE1D0}">
  <dimension ref="A1:AC302"/>
  <sheetViews>
    <sheetView topLeftCell="P1" workbookViewId="0">
      <pane ySplit="2" topLeftCell="A279" activePane="bottomLeft" state="frozen"/>
      <selection activeCell="O1" sqref="O1"/>
      <selection pane="bottomLeft" activeCell="C293" sqref="C293"/>
    </sheetView>
  </sheetViews>
  <sheetFormatPr defaultRowHeight="15" x14ac:dyDescent="0.25"/>
  <cols>
    <col min="1" max="1" width="14.7109375" customWidth="1"/>
    <col min="2" max="2" width="15.7109375" style="1" bestFit="1" customWidth="1"/>
    <col min="3" max="3" width="15.85546875" style="1" customWidth="1"/>
    <col min="4" max="4" width="25" bestFit="1" customWidth="1"/>
    <col min="5" max="5" width="20.7109375" bestFit="1" customWidth="1"/>
    <col min="6" max="6" width="19.140625" bestFit="1" customWidth="1"/>
    <col min="7" max="7" width="13.140625" customWidth="1"/>
    <col min="8" max="8" width="14.140625" customWidth="1"/>
    <col min="9" max="9" width="18.28515625" customWidth="1"/>
    <col min="10" max="10" width="19.28515625" customWidth="1"/>
    <col min="11" max="11" width="19.28515625" style="14" customWidth="1"/>
    <col min="12" max="12" width="9.7109375" customWidth="1"/>
    <col min="13" max="13" width="16.140625" customWidth="1"/>
    <col min="14" max="15" width="17.140625" customWidth="1"/>
    <col min="16" max="16" width="14.7109375" customWidth="1"/>
    <col min="17" max="19" width="14.7109375" style="14" customWidth="1"/>
    <col min="20" max="20" width="22.7109375" customWidth="1"/>
    <col min="21" max="21" width="21" customWidth="1"/>
    <col min="22" max="22" width="13.5703125" customWidth="1"/>
    <col min="23" max="23" width="19.7109375" customWidth="1"/>
    <col min="24" max="24" width="24" customWidth="1"/>
    <col min="25" max="25" width="17.28515625" customWidth="1"/>
    <col min="26" max="27" width="15.42578125" customWidth="1"/>
    <col min="28" max="28" width="21.140625" customWidth="1"/>
    <col min="29" max="29" width="18.42578125" customWidth="1"/>
  </cols>
  <sheetData>
    <row r="1" spans="1:29" ht="21" x14ac:dyDescent="0.35">
      <c r="A1" s="4"/>
      <c r="B1" s="5"/>
      <c r="C1" s="5"/>
      <c r="D1" s="4"/>
      <c r="E1" s="4"/>
      <c r="F1" s="4"/>
      <c r="G1" s="4"/>
      <c r="H1" s="4"/>
      <c r="I1" s="4"/>
      <c r="J1" s="4"/>
      <c r="K1" s="4"/>
      <c r="L1" s="4"/>
      <c r="M1" s="4"/>
      <c r="N1" s="4"/>
      <c r="O1" s="4"/>
      <c r="P1" s="20" t="s">
        <v>375</v>
      </c>
      <c r="Q1" s="20"/>
      <c r="R1" s="20"/>
      <c r="S1" s="20"/>
      <c r="T1" s="21"/>
      <c r="U1" s="21"/>
      <c r="V1" s="21"/>
      <c r="W1" s="21"/>
      <c r="X1" s="21"/>
      <c r="Y1" s="21"/>
      <c r="Z1" s="21"/>
      <c r="AA1" s="21"/>
      <c r="AB1" s="21"/>
      <c r="AC1" s="21"/>
    </row>
    <row r="2" spans="1:29" x14ac:dyDescent="0.25">
      <c r="A2" s="6" t="s">
        <v>0</v>
      </c>
      <c r="B2" s="7" t="s">
        <v>1</v>
      </c>
      <c r="C2" s="7" t="s">
        <v>2</v>
      </c>
      <c r="D2" s="6" t="s">
        <v>3</v>
      </c>
      <c r="E2" s="6" t="s">
        <v>4</v>
      </c>
      <c r="F2" s="6" t="s">
        <v>5</v>
      </c>
      <c r="G2" s="6" t="s">
        <v>6</v>
      </c>
      <c r="H2" s="6" t="s">
        <v>7</v>
      </c>
      <c r="I2" s="6" t="s">
        <v>8</v>
      </c>
      <c r="J2" s="6" t="s">
        <v>9</v>
      </c>
      <c r="K2" s="6" t="s">
        <v>384</v>
      </c>
      <c r="L2" s="6" t="s">
        <v>10</v>
      </c>
      <c r="M2" s="6" t="s">
        <v>11</v>
      </c>
      <c r="N2" s="6" t="s">
        <v>12</v>
      </c>
      <c r="O2" s="6" t="s">
        <v>13</v>
      </c>
      <c r="P2" s="6" t="s">
        <v>14</v>
      </c>
      <c r="Q2" s="6" t="s">
        <v>421</v>
      </c>
      <c r="R2" s="6" t="s">
        <v>423</v>
      </c>
      <c r="S2" s="6" t="s">
        <v>424</v>
      </c>
      <c r="T2" s="6" t="s">
        <v>15</v>
      </c>
      <c r="U2" s="6" t="s">
        <v>16</v>
      </c>
      <c r="V2" s="6" t="s">
        <v>17</v>
      </c>
      <c r="W2" s="6" t="s">
        <v>18</v>
      </c>
      <c r="X2" s="6" t="s">
        <v>19</v>
      </c>
      <c r="Y2" s="6" t="s">
        <v>20</v>
      </c>
      <c r="Z2" s="6" t="s">
        <v>21</v>
      </c>
      <c r="AA2" s="6" t="s">
        <v>22</v>
      </c>
      <c r="AB2" s="6" t="s">
        <v>23</v>
      </c>
      <c r="AC2" s="6" t="s">
        <v>24</v>
      </c>
    </row>
    <row r="3" spans="1:29" x14ac:dyDescent="0.25">
      <c r="A3" t="s">
        <v>25</v>
      </c>
      <c r="B3" s="1">
        <v>46119</v>
      </c>
      <c r="C3" s="1">
        <v>46124</v>
      </c>
      <c r="D3" t="s">
        <v>26</v>
      </c>
      <c r="E3" t="s">
        <v>27</v>
      </c>
      <c r="F3" t="s">
        <v>28</v>
      </c>
      <c r="G3" t="s">
        <v>29</v>
      </c>
      <c r="H3" t="s">
        <v>29</v>
      </c>
      <c r="I3" t="s">
        <v>30</v>
      </c>
      <c r="J3" t="s">
        <v>31</v>
      </c>
      <c r="K3" s="14" t="str">
        <f t="shared" ref="K3:K66" si="0">H3&amp;" → "&amp;J3</f>
        <v>Kaduna → Kwara</v>
      </c>
      <c r="L3" t="s">
        <v>32</v>
      </c>
      <c r="M3">
        <v>25</v>
      </c>
      <c r="N3">
        <v>24</v>
      </c>
      <c r="O3">
        <v>1</v>
      </c>
      <c r="P3">
        <v>639</v>
      </c>
      <c r="Q3" s="14" t="str">
        <f t="shared" ref="Q3:Q66" si="1">IF(P3&lt;=100,"0–100 km",
IF(P3&lt;=250,"101–250 km",
IF(P3&lt;=500,"251–500 km",
IF(P3&lt;=1000,"501–1,000 km",
"1,000+ km"))))</f>
        <v>501–1,000 km</v>
      </c>
      <c r="R3" s="14" t="str">
        <f>IF(Table2[[#This Row],[Distance Bands]]="0–100 km","Short",
IF(Table2[[#This Row],[Distance Bands]]="101–250 km","Medium",
IF(Table2[[#This Row],[Distance Bands]]="251–500 km","Long",
IF(Table2[[#This Row],[Distance Bands]]="501–1,000 km","Very Long",
"Extreme"))))</f>
        <v>Very Long</v>
      </c>
      <c r="S3" s="13">
        <f>Table2[[#This Row],[Freight_Cost_NGN]]/Table2[[#This Row],[Distance_km]]</f>
        <v>785.16588419405321</v>
      </c>
      <c r="T3">
        <v>2</v>
      </c>
      <c r="U3">
        <v>5</v>
      </c>
      <c r="V3">
        <f>Table2[[#This Row],[Actual_Transit_Days]]-Table2[[#This Row],[Planned_Transit_Days]]</f>
        <v>3</v>
      </c>
      <c r="W3">
        <v>501721</v>
      </c>
      <c r="X3">
        <v>467411</v>
      </c>
      <c r="Y3" t="s">
        <v>33</v>
      </c>
      <c r="Z3">
        <f>IF(Table2[[#This Row],[Delivery_Date]]&lt;=Table2[[#This Row],[Planned_Date]],1,0)</f>
        <v>0</v>
      </c>
      <c r="AA3" s="18">
        <f>Table2[[#This Row],[Units_Damaged]]/Table2[[#This Row],[Units_Shipped]]</f>
        <v>0.04</v>
      </c>
      <c r="AB3">
        <f>W3-X3</f>
        <v>34310</v>
      </c>
      <c r="AC3" s="17">
        <f>AB3/X3</f>
        <v>7.3404348635355179E-2</v>
      </c>
    </row>
    <row r="4" spans="1:29" x14ac:dyDescent="0.25">
      <c r="A4" t="s">
        <v>34</v>
      </c>
      <c r="B4" s="1">
        <v>46120</v>
      </c>
      <c r="C4" s="1">
        <v>46186</v>
      </c>
      <c r="D4" t="s">
        <v>35</v>
      </c>
      <c r="E4" t="s">
        <v>36</v>
      </c>
      <c r="F4" t="s">
        <v>37</v>
      </c>
      <c r="G4" t="s">
        <v>38</v>
      </c>
      <c r="H4" t="s">
        <v>38</v>
      </c>
      <c r="I4" t="s">
        <v>39</v>
      </c>
      <c r="J4" t="s">
        <v>40</v>
      </c>
      <c r="K4" s="14" t="str">
        <f t="shared" si="0"/>
        <v>Kano → Anambra</v>
      </c>
      <c r="L4" t="s">
        <v>41</v>
      </c>
      <c r="M4">
        <v>25</v>
      </c>
      <c r="N4">
        <v>24</v>
      </c>
      <c r="O4">
        <v>1</v>
      </c>
      <c r="P4">
        <v>185</v>
      </c>
      <c r="Q4" s="14" t="str">
        <f t="shared" si="1"/>
        <v>101–250 km</v>
      </c>
      <c r="R4" s="14" t="str">
        <f>IF(Table2[[#This Row],[Distance Bands]]="0–100 km","Short",
IF(Table2[[#This Row],[Distance Bands]]="101–250 km","Medium",
IF(Table2[[#This Row],[Distance Bands]]="251–500 km","Long",
IF(Table2[[#This Row],[Distance Bands]]="501–1,000 km","Very Long",
"Extreme"))))</f>
        <v>Medium</v>
      </c>
      <c r="S4" s="13">
        <f>Table2[[#This Row],[Freight_Cost_NGN]]/Table2[[#This Row],[Distance_km]]</f>
        <v>1686.6486486486488</v>
      </c>
      <c r="T4">
        <v>2</v>
      </c>
      <c r="U4">
        <v>2</v>
      </c>
      <c r="V4" s="14">
        <f>Table2[[#This Row],[Actual_Transit_Days]]-Table2[[#This Row],[Planned_Transit_Days]]</f>
        <v>0</v>
      </c>
      <c r="W4">
        <v>312030</v>
      </c>
      <c r="X4">
        <v>319815</v>
      </c>
      <c r="Y4" t="s">
        <v>42</v>
      </c>
      <c r="Z4" s="14">
        <f>IF(Table2[[#This Row],[Delivery_Date]]&lt;=Table2[[#This Row],[Planned_Date]],1,0)</f>
        <v>0</v>
      </c>
      <c r="AA4" s="18">
        <f>Table2[[#This Row],[Units_Damaged]]/Table2[[#This Row],[Units_Shipped]]</f>
        <v>0.04</v>
      </c>
      <c r="AB4">
        <f t="shared" ref="AB4:AB67" si="2">W4-X4</f>
        <v>-7785</v>
      </c>
      <c r="AC4" s="17">
        <f t="shared" ref="AC4:AC67" si="3">AB4/X4</f>
        <v>-2.4342197833122275E-2</v>
      </c>
    </row>
    <row r="5" spans="1:29" x14ac:dyDescent="0.25">
      <c r="A5" t="s">
        <v>43</v>
      </c>
      <c r="B5" s="1">
        <v>46121</v>
      </c>
      <c r="C5" s="1">
        <v>46253</v>
      </c>
      <c r="D5" t="s">
        <v>44</v>
      </c>
      <c r="E5" t="s">
        <v>45</v>
      </c>
      <c r="F5" t="s">
        <v>46</v>
      </c>
      <c r="G5" t="s">
        <v>47</v>
      </c>
      <c r="H5" t="s">
        <v>48</v>
      </c>
      <c r="I5" t="s">
        <v>49</v>
      </c>
      <c r="J5" t="s">
        <v>50</v>
      </c>
      <c r="K5" s="14" t="str">
        <f t="shared" si="0"/>
        <v>Cross River → Niger</v>
      </c>
      <c r="L5" t="s">
        <v>41</v>
      </c>
      <c r="M5">
        <v>55</v>
      </c>
      <c r="N5">
        <v>54</v>
      </c>
      <c r="O5">
        <v>1</v>
      </c>
      <c r="P5">
        <v>591</v>
      </c>
      <c r="Q5" s="14" t="str">
        <f t="shared" si="1"/>
        <v>501–1,000 km</v>
      </c>
      <c r="R5" s="14" t="str">
        <f>IF(Table2[[#This Row],[Distance Bands]]="0–100 km","Short",
IF(Table2[[#This Row],[Distance Bands]]="101–250 km","Medium",
IF(Table2[[#This Row],[Distance Bands]]="251–500 km","Long",
IF(Table2[[#This Row],[Distance Bands]]="501–1,000 km","Very Long",
"Extreme"))))</f>
        <v>Very Long</v>
      </c>
      <c r="S5" s="13">
        <f>Table2[[#This Row],[Freight_Cost_NGN]]/Table2[[#This Row],[Distance_km]]</f>
        <v>1005.6920473773266</v>
      </c>
      <c r="T5">
        <v>7</v>
      </c>
      <c r="U5">
        <v>7</v>
      </c>
      <c r="V5" s="14">
        <f>Table2[[#This Row],[Actual_Transit_Days]]-Table2[[#This Row],[Planned_Transit_Days]]</f>
        <v>0</v>
      </c>
      <c r="W5">
        <v>594364</v>
      </c>
      <c r="X5">
        <v>602300</v>
      </c>
      <c r="Y5" t="s">
        <v>42</v>
      </c>
      <c r="Z5" s="14">
        <f>IF(Table2[[#This Row],[Delivery_Date]]&lt;=Table2[[#This Row],[Planned_Date]],1,0)</f>
        <v>0</v>
      </c>
      <c r="AA5" s="18">
        <f>Table2[[#This Row],[Units_Damaged]]/Table2[[#This Row],[Units_Shipped]]</f>
        <v>1.8181818181818181E-2</v>
      </c>
      <c r="AB5">
        <f t="shared" si="2"/>
        <v>-7936</v>
      </c>
      <c r="AC5" s="17">
        <f t="shared" si="3"/>
        <v>-1.317615806076706E-2</v>
      </c>
    </row>
    <row r="6" spans="1:29" x14ac:dyDescent="0.25">
      <c r="A6" t="s">
        <v>51</v>
      </c>
      <c r="B6" s="1">
        <v>46122</v>
      </c>
      <c r="C6" s="1">
        <v>46036</v>
      </c>
      <c r="D6" t="s">
        <v>26</v>
      </c>
      <c r="E6" t="s">
        <v>52</v>
      </c>
      <c r="F6" t="s">
        <v>53</v>
      </c>
      <c r="G6" t="s">
        <v>39</v>
      </c>
      <c r="H6" t="s">
        <v>40</v>
      </c>
      <c r="I6" t="s">
        <v>54</v>
      </c>
      <c r="J6" t="s">
        <v>55</v>
      </c>
      <c r="K6" s="14" t="str">
        <f t="shared" si="0"/>
        <v>Anambra → Rivers</v>
      </c>
      <c r="L6" t="s">
        <v>41</v>
      </c>
      <c r="M6">
        <v>96</v>
      </c>
      <c r="N6">
        <v>93</v>
      </c>
      <c r="O6">
        <v>3</v>
      </c>
      <c r="P6">
        <v>391</v>
      </c>
      <c r="Q6" s="14" t="str">
        <f t="shared" si="1"/>
        <v>251–500 km</v>
      </c>
      <c r="R6" s="14" t="str">
        <f>IF(Table2[[#This Row],[Distance Bands]]="0–100 km","Short",
IF(Table2[[#This Row],[Distance Bands]]="101–250 km","Medium",
IF(Table2[[#This Row],[Distance Bands]]="251–500 km","Long",
IF(Table2[[#This Row],[Distance Bands]]="501–1,000 km","Very Long",
"Extreme"))))</f>
        <v>Long</v>
      </c>
      <c r="S6" s="13">
        <f>Table2[[#This Row],[Freight_Cost_NGN]]/Table2[[#This Row],[Distance_km]]</f>
        <v>3424.83631713555</v>
      </c>
      <c r="T6">
        <v>1</v>
      </c>
      <c r="U6">
        <v>1</v>
      </c>
      <c r="V6" s="14">
        <f>Table2[[#This Row],[Actual_Transit_Days]]-Table2[[#This Row],[Planned_Transit_Days]]</f>
        <v>0</v>
      </c>
      <c r="W6">
        <v>1339111</v>
      </c>
      <c r="X6">
        <v>1364601</v>
      </c>
      <c r="Y6" t="s">
        <v>42</v>
      </c>
      <c r="Z6" s="14">
        <f>IF(Table2[[#This Row],[Delivery_Date]]&lt;=Table2[[#This Row],[Planned_Date]],1,0)</f>
        <v>1</v>
      </c>
      <c r="AA6" s="18">
        <f>Table2[[#This Row],[Units_Damaged]]/Table2[[#This Row],[Units_Shipped]]</f>
        <v>3.125E-2</v>
      </c>
      <c r="AB6">
        <f t="shared" si="2"/>
        <v>-25490</v>
      </c>
      <c r="AC6" s="17">
        <f t="shared" si="3"/>
        <v>-1.8679452821740567E-2</v>
      </c>
    </row>
    <row r="7" spans="1:29" x14ac:dyDescent="0.25">
      <c r="A7" t="s">
        <v>56</v>
      </c>
      <c r="B7" s="1">
        <v>46123</v>
      </c>
      <c r="C7" s="1">
        <v>46162</v>
      </c>
      <c r="D7" t="s">
        <v>26</v>
      </c>
      <c r="E7" t="s">
        <v>57</v>
      </c>
      <c r="F7" t="s">
        <v>53</v>
      </c>
      <c r="G7" t="s">
        <v>58</v>
      </c>
      <c r="H7" t="s">
        <v>59</v>
      </c>
      <c r="I7" t="s">
        <v>38</v>
      </c>
      <c r="J7" t="s">
        <v>38</v>
      </c>
      <c r="K7" s="14" t="str">
        <f t="shared" si="0"/>
        <v>Ogun → Kano</v>
      </c>
      <c r="L7" t="s">
        <v>60</v>
      </c>
      <c r="M7">
        <v>110</v>
      </c>
      <c r="N7">
        <v>110</v>
      </c>
      <c r="O7">
        <v>0</v>
      </c>
      <c r="P7">
        <v>796</v>
      </c>
      <c r="Q7" s="14" t="str">
        <f t="shared" si="1"/>
        <v>501–1,000 km</v>
      </c>
      <c r="R7" s="14" t="str">
        <f>IF(Table2[[#This Row],[Distance Bands]]="0–100 km","Short",
IF(Table2[[#This Row],[Distance Bands]]="101–250 km","Medium",
IF(Table2[[#This Row],[Distance Bands]]="251–500 km","Long",
IF(Table2[[#This Row],[Distance Bands]]="501–1,000 km","Very Long",
"Extreme"))))</f>
        <v>Very Long</v>
      </c>
      <c r="S7" s="13">
        <f>Table2[[#This Row],[Freight_Cost_NGN]]/Table2[[#This Row],[Distance_km]]</f>
        <v>2065.8668341708544</v>
      </c>
      <c r="T7">
        <v>3</v>
      </c>
      <c r="U7">
        <v>4</v>
      </c>
      <c r="V7" s="14">
        <f>Table2[[#This Row],[Actual_Transit_Days]]-Table2[[#This Row],[Planned_Transit_Days]]</f>
        <v>1</v>
      </c>
      <c r="W7">
        <v>1644430</v>
      </c>
      <c r="X7">
        <v>1789891</v>
      </c>
      <c r="Y7" t="s">
        <v>33</v>
      </c>
      <c r="Z7" s="14">
        <f>IF(Table2[[#This Row],[Delivery_Date]]&lt;=Table2[[#This Row],[Planned_Date]],1,0)</f>
        <v>0</v>
      </c>
      <c r="AA7" s="18">
        <f>Table2[[#This Row],[Units_Damaged]]/Table2[[#This Row],[Units_Shipped]]</f>
        <v>0</v>
      </c>
      <c r="AB7">
        <f t="shared" si="2"/>
        <v>-145461</v>
      </c>
      <c r="AC7" s="17">
        <f t="shared" si="3"/>
        <v>-8.1268077218109927E-2</v>
      </c>
    </row>
    <row r="8" spans="1:29" x14ac:dyDescent="0.25">
      <c r="A8" t="s">
        <v>61</v>
      </c>
      <c r="B8" s="1">
        <v>46124</v>
      </c>
      <c r="C8" s="1">
        <v>46074</v>
      </c>
      <c r="D8" t="s">
        <v>62</v>
      </c>
      <c r="E8" t="s">
        <v>52</v>
      </c>
      <c r="F8" t="s">
        <v>63</v>
      </c>
      <c r="G8" t="s">
        <v>64</v>
      </c>
      <c r="H8" t="s">
        <v>65</v>
      </c>
      <c r="I8" t="s">
        <v>54</v>
      </c>
      <c r="J8" t="s">
        <v>55</v>
      </c>
      <c r="K8" s="14" t="str">
        <f t="shared" si="0"/>
        <v>Plateau → Rivers</v>
      </c>
      <c r="L8" t="s">
        <v>41</v>
      </c>
      <c r="M8">
        <v>115</v>
      </c>
      <c r="N8">
        <v>115</v>
      </c>
      <c r="O8">
        <v>0</v>
      </c>
      <c r="P8">
        <v>77</v>
      </c>
      <c r="Q8" s="14" t="str">
        <f t="shared" si="1"/>
        <v>0–100 km</v>
      </c>
      <c r="R8" s="14" t="str">
        <f>IF(Table2[[#This Row],[Distance Bands]]="0–100 km","Short",
IF(Table2[[#This Row],[Distance Bands]]="101–250 km","Medium",
IF(Table2[[#This Row],[Distance Bands]]="251–500 km","Long",
IF(Table2[[#This Row],[Distance Bands]]="501–1,000 km","Very Long",
"Extreme"))))</f>
        <v>Short</v>
      </c>
      <c r="S8" s="13">
        <f>Table2[[#This Row],[Freight_Cost_NGN]]/Table2[[#This Row],[Distance_km]]</f>
        <v>14578.545454545454</v>
      </c>
      <c r="T8">
        <v>6</v>
      </c>
      <c r="U8">
        <v>8</v>
      </c>
      <c r="V8" s="14">
        <f>Table2[[#This Row],[Actual_Transit_Days]]-Table2[[#This Row],[Planned_Transit_Days]]</f>
        <v>2</v>
      </c>
      <c r="W8">
        <v>1122548</v>
      </c>
      <c r="X8">
        <v>1249453</v>
      </c>
      <c r="Y8" t="s">
        <v>33</v>
      </c>
      <c r="Z8" s="14">
        <f>IF(Table2[[#This Row],[Delivery_Date]]&lt;=Table2[[#This Row],[Planned_Date]],1,0)</f>
        <v>1</v>
      </c>
      <c r="AA8" s="18">
        <f>Table2[[#This Row],[Units_Damaged]]/Table2[[#This Row],[Units_Shipped]]</f>
        <v>0</v>
      </c>
      <c r="AB8">
        <f t="shared" si="2"/>
        <v>-126905</v>
      </c>
      <c r="AC8" s="17">
        <f t="shared" si="3"/>
        <v>-0.10156844635212368</v>
      </c>
    </row>
    <row r="9" spans="1:29" x14ac:dyDescent="0.25">
      <c r="A9" t="s">
        <v>66</v>
      </c>
      <c r="B9" s="1">
        <v>46125</v>
      </c>
      <c r="C9" s="1">
        <v>46092</v>
      </c>
      <c r="D9" t="s">
        <v>62</v>
      </c>
      <c r="E9" t="s">
        <v>67</v>
      </c>
      <c r="F9" t="s">
        <v>28</v>
      </c>
      <c r="G9" t="s">
        <v>47</v>
      </c>
      <c r="H9" t="s">
        <v>48</v>
      </c>
      <c r="I9" t="s">
        <v>68</v>
      </c>
      <c r="J9" t="s">
        <v>69</v>
      </c>
      <c r="K9" s="14" t="str">
        <f t="shared" si="0"/>
        <v>Cross River → Abia</v>
      </c>
      <c r="L9" t="s">
        <v>32</v>
      </c>
      <c r="M9">
        <v>133</v>
      </c>
      <c r="N9">
        <v>129</v>
      </c>
      <c r="O9">
        <v>4</v>
      </c>
      <c r="P9">
        <v>672</v>
      </c>
      <c r="Q9" s="14" t="str">
        <f t="shared" si="1"/>
        <v>501–1,000 km</v>
      </c>
      <c r="R9" s="14" t="str">
        <f>IF(Table2[[#This Row],[Distance Bands]]="0–100 km","Short",
IF(Table2[[#This Row],[Distance Bands]]="101–250 km","Medium",
IF(Table2[[#This Row],[Distance Bands]]="251–500 km","Long",
IF(Table2[[#This Row],[Distance Bands]]="501–1,000 km","Very Long",
"Extreme"))))</f>
        <v>Very Long</v>
      </c>
      <c r="S9" s="13">
        <f>Table2[[#This Row],[Freight_Cost_NGN]]/Table2[[#This Row],[Distance_km]]</f>
        <v>3019.84375</v>
      </c>
      <c r="T9">
        <v>1</v>
      </c>
      <c r="U9">
        <v>1</v>
      </c>
      <c r="V9" s="14">
        <f>Table2[[#This Row],[Actual_Transit_Days]]-Table2[[#This Row],[Planned_Transit_Days]]</f>
        <v>0</v>
      </c>
      <c r="W9">
        <v>2029335</v>
      </c>
      <c r="X9">
        <v>2197957</v>
      </c>
      <c r="Y9" t="s">
        <v>42</v>
      </c>
      <c r="Z9" s="14">
        <f>IF(Table2[[#This Row],[Delivery_Date]]&lt;=Table2[[#This Row],[Planned_Date]],1,0)</f>
        <v>1</v>
      </c>
      <c r="AA9" s="18">
        <f>Table2[[#This Row],[Units_Damaged]]/Table2[[#This Row],[Units_Shipped]]</f>
        <v>3.007518796992481E-2</v>
      </c>
      <c r="AB9">
        <f t="shared" si="2"/>
        <v>-168622</v>
      </c>
      <c r="AC9" s="17">
        <f t="shared" si="3"/>
        <v>-7.6717606395393545E-2</v>
      </c>
    </row>
    <row r="10" spans="1:29" x14ac:dyDescent="0.25">
      <c r="A10" t="s">
        <v>70</v>
      </c>
      <c r="B10" s="1">
        <v>46126</v>
      </c>
      <c r="C10" s="1">
        <v>46167</v>
      </c>
      <c r="D10" t="s">
        <v>26</v>
      </c>
      <c r="E10" t="s">
        <v>36</v>
      </c>
      <c r="F10" t="s">
        <v>37</v>
      </c>
      <c r="G10" t="s">
        <v>64</v>
      </c>
      <c r="H10" t="s">
        <v>65</v>
      </c>
      <c r="I10" t="s">
        <v>39</v>
      </c>
      <c r="J10" t="s">
        <v>40</v>
      </c>
      <c r="K10" s="14" t="str">
        <f t="shared" si="0"/>
        <v>Plateau → Anambra</v>
      </c>
      <c r="L10" t="s">
        <v>32</v>
      </c>
      <c r="M10">
        <v>37</v>
      </c>
      <c r="N10">
        <v>36</v>
      </c>
      <c r="O10">
        <v>1</v>
      </c>
      <c r="P10">
        <v>72</v>
      </c>
      <c r="Q10" s="14" t="str">
        <f t="shared" si="1"/>
        <v>0–100 km</v>
      </c>
      <c r="R10" s="14" t="str">
        <f>IF(Table2[[#This Row],[Distance Bands]]="0–100 km","Short",
IF(Table2[[#This Row],[Distance Bands]]="101–250 km","Medium",
IF(Table2[[#This Row],[Distance Bands]]="251–500 km","Long",
IF(Table2[[#This Row],[Distance Bands]]="501–1,000 km","Very Long",
"Extreme"))))</f>
        <v>Short</v>
      </c>
      <c r="S10" s="13">
        <f>Table2[[#This Row],[Freight_Cost_NGN]]/Table2[[#This Row],[Distance_km]]</f>
        <v>3784.5833333333335</v>
      </c>
      <c r="T10">
        <v>6</v>
      </c>
      <c r="U10">
        <v>6</v>
      </c>
      <c r="V10" s="14">
        <f>Table2[[#This Row],[Actual_Transit_Days]]-Table2[[#This Row],[Planned_Transit_Days]]</f>
        <v>0</v>
      </c>
      <c r="W10">
        <v>272490</v>
      </c>
      <c r="X10">
        <v>268412</v>
      </c>
      <c r="Y10" t="s">
        <v>42</v>
      </c>
      <c r="Z10" s="14">
        <f>IF(Table2[[#This Row],[Delivery_Date]]&lt;=Table2[[#This Row],[Planned_Date]],1,0)</f>
        <v>0</v>
      </c>
      <c r="AA10" s="18">
        <f>Table2[[#This Row],[Units_Damaged]]/Table2[[#This Row],[Units_Shipped]]</f>
        <v>2.7027027027027029E-2</v>
      </c>
      <c r="AB10">
        <f t="shared" si="2"/>
        <v>4078</v>
      </c>
      <c r="AC10" s="17">
        <f t="shared" si="3"/>
        <v>1.5193061413051578E-2</v>
      </c>
    </row>
    <row r="11" spans="1:29" x14ac:dyDescent="0.25">
      <c r="A11" t="s">
        <v>71</v>
      </c>
      <c r="B11" s="1">
        <v>46127</v>
      </c>
      <c r="C11" s="1">
        <v>46138</v>
      </c>
      <c r="D11" t="s">
        <v>35</v>
      </c>
      <c r="E11" t="s">
        <v>45</v>
      </c>
      <c r="F11" t="s">
        <v>63</v>
      </c>
      <c r="G11" t="s">
        <v>72</v>
      </c>
      <c r="H11" t="s">
        <v>72</v>
      </c>
      <c r="I11" t="s">
        <v>73</v>
      </c>
      <c r="J11" t="s">
        <v>74</v>
      </c>
      <c r="K11" s="14" t="str">
        <f t="shared" si="0"/>
        <v>Lagos → Oyo</v>
      </c>
      <c r="L11" t="s">
        <v>41</v>
      </c>
      <c r="M11">
        <v>9</v>
      </c>
      <c r="N11">
        <v>9</v>
      </c>
      <c r="O11">
        <v>0</v>
      </c>
      <c r="P11">
        <v>242</v>
      </c>
      <c r="Q11" s="14" t="str">
        <f t="shared" si="1"/>
        <v>101–250 km</v>
      </c>
      <c r="R11" s="14" t="str">
        <f>IF(Table2[[#This Row],[Distance Bands]]="0–100 km","Short",
IF(Table2[[#This Row],[Distance Bands]]="101–250 km","Medium",
IF(Table2[[#This Row],[Distance Bands]]="251–500 km","Long",
IF(Table2[[#This Row],[Distance Bands]]="501–1,000 km","Very Long",
"Extreme"))))</f>
        <v>Medium</v>
      </c>
      <c r="S11" s="13">
        <f>Table2[[#This Row],[Freight_Cost_NGN]]/Table2[[#This Row],[Distance_km]]</f>
        <v>590.02479338842977</v>
      </c>
      <c r="T11">
        <v>7</v>
      </c>
      <c r="U11">
        <v>11</v>
      </c>
      <c r="V11" s="14">
        <f>Table2[[#This Row],[Actual_Transit_Days]]-Table2[[#This Row],[Planned_Transit_Days]]</f>
        <v>4</v>
      </c>
      <c r="W11">
        <v>142786</v>
      </c>
      <c r="X11">
        <v>138675</v>
      </c>
      <c r="Y11" t="s">
        <v>75</v>
      </c>
      <c r="Z11" s="14">
        <f>IF(Table2[[#This Row],[Delivery_Date]]&lt;=Table2[[#This Row],[Planned_Date]],1,0)</f>
        <v>0</v>
      </c>
      <c r="AA11" s="18">
        <f>Table2[[#This Row],[Units_Damaged]]/Table2[[#This Row],[Units_Shipped]]</f>
        <v>0</v>
      </c>
      <c r="AB11">
        <f t="shared" si="2"/>
        <v>4111</v>
      </c>
      <c r="AC11" s="17">
        <f t="shared" si="3"/>
        <v>2.9644853073733549E-2</v>
      </c>
    </row>
    <row r="12" spans="1:29" x14ac:dyDescent="0.25">
      <c r="A12" t="s">
        <v>76</v>
      </c>
      <c r="B12" s="1">
        <v>46128</v>
      </c>
      <c r="C12" s="1">
        <v>46258</v>
      </c>
      <c r="D12" t="s">
        <v>77</v>
      </c>
      <c r="E12" t="s">
        <v>67</v>
      </c>
      <c r="F12" t="s">
        <v>28</v>
      </c>
      <c r="G12" t="s">
        <v>30</v>
      </c>
      <c r="H12" t="s">
        <v>31</v>
      </c>
      <c r="I12" t="s">
        <v>54</v>
      </c>
      <c r="J12" t="s">
        <v>55</v>
      </c>
      <c r="K12" s="14" t="str">
        <f t="shared" si="0"/>
        <v>Kwara → Rivers</v>
      </c>
      <c r="L12" t="s">
        <v>32</v>
      </c>
      <c r="M12">
        <v>33</v>
      </c>
      <c r="N12">
        <v>33</v>
      </c>
      <c r="O12">
        <v>0</v>
      </c>
      <c r="P12">
        <v>60</v>
      </c>
      <c r="Q12" s="14" t="str">
        <f t="shared" si="1"/>
        <v>0–100 km</v>
      </c>
      <c r="R12" s="14" t="str">
        <f>IF(Table2[[#This Row],[Distance Bands]]="0–100 km","Short",
IF(Table2[[#This Row],[Distance Bands]]="101–250 km","Medium",
IF(Table2[[#This Row],[Distance Bands]]="251–500 km","Long",
IF(Table2[[#This Row],[Distance Bands]]="501–1,000 km","Very Long",
"Extreme"))))</f>
        <v>Short</v>
      </c>
      <c r="S12" s="13">
        <f>Table2[[#This Row],[Freight_Cost_NGN]]/Table2[[#This Row],[Distance_km]]</f>
        <v>6451.4</v>
      </c>
      <c r="T12">
        <v>3</v>
      </c>
      <c r="U12">
        <v>3</v>
      </c>
      <c r="V12" s="14">
        <f>Table2[[#This Row],[Actual_Transit_Days]]-Table2[[#This Row],[Planned_Transit_Days]]</f>
        <v>0</v>
      </c>
      <c r="W12">
        <v>387084</v>
      </c>
      <c r="X12">
        <v>402479</v>
      </c>
      <c r="Y12" t="s">
        <v>42</v>
      </c>
      <c r="Z12" s="14">
        <f>IF(Table2[[#This Row],[Delivery_Date]]&lt;=Table2[[#This Row],[Planned_Date]],1,0)</f>
        <v>0</v>
      </c>
      <c r="AA12" s="18">
        <f>Table2[[#This Row],[Units_Damaged]]/Table2[[#This Row],[Units_Shipped]]</f>
        <v>0</v>
      </c>
      <c r="AB12">
        <f t="shared" si="2"/>
        <v>-15395</v>
      </c>
      <c r="AC12" s="17">
        <f t="shared" si="3"/>
        <v>-3.8250442880249653E-2</v>
      </c>
    </row>
    <row r="13" spans="1:29" x14ac:dyDescent="0.25">
      <c r="A13" t="s">
        <v>78</v>
      </c>
      <c r="B13" s="1">
        <v>46129</v>
      </c>
      <c r="C13" s="1">
        <v>46213</v>
      </c>
      <c r="D13" t="s">
        <v>26</v>
      </c>
      <c r="E13" t="s">
        <v>52</v>
      </c>
      <c r="F13" t="s">
        <v>46</v>
      </c>
      <c r="G13" t="s">
        <v>68</v>
      </c>
      <c r="H13" t="s">
        <v>69</v>
      </c>
      <c r="I13" t="s">
        <v>54</v>
      </c>
      <c r="J13" t="s">
        <v>55</v>
      </c>
      <c r="K13" s="14" t="str">
        <f t="shared" si="0"/>
        <v>Abia → Rivers</v>
      </c>
      <c r="L13" t="s">
        <v>41</v>
      </c>
      <c r="M13">
        <v>112</v>
      </c>
      <c r="N13">
        <v>111</v>
      </c>
      <c r="O13">
        <v>1</v>
      </c>
      <c r="P13">
        <v>580</v>
      </c>
      <c r="Q13" s="14" t="str">
        <f t="shared" si="1"/>
        <v>501–1,000 km</v>
      </c>
      <c r="R13" s="14" t="str">
        <f>IF(Table2[[#This Row],[Distance Bands]]="0–100 km","Short",
IF(Table2[[#This Row],[Distance Bands]]="101–250 km","Medium",
IF(Table2[[#This Row],[Distance Bands]]="251–500 km","Long",
IF(Table2[[#This Row],[Distance Bands]]="501–1,000 km","Very Long",
"Extreme"))))</f>
        <v>Very Long</v>
      </c>
      <c r="S13" s="13">
        <f>Table2[[#This Row],[Freight_Cost_NGN]]/Table2[[#This Row],[Distance_km]]</f>
        <v>3149.0689655172414</v>
      </c>
      <c r="T13">
        <v>2</v>
      </c>
      <c r="U13">
        <v>2</v>
      </c>
      <c r="V13" s="14">
        <f>Table2[[#This Row],[Actual_Transit_Days]]-Table2[[#This Row],[Planned_Transit_Days]]</f>
        <v>0</v>
      </c>
      <c r="W13">
        <v>1826460</v>
      </c>
      <c r="X13">
        <v>2002998</v>
      </c>
      <c r="Y13" t="s">
        <v>42</v>
      </c>
      <c r="Z13" s="14">
        <f>IF(Table2[[#This Row],[Delivery_Date]]&lt;=Table2[[#This Row],[Planned_Date]],1,0)</f>
        <v>0</v>
      </c>
      <c r="AA13" s="18">
        <f>Table2[[#This Row],[Units_Damaged]]/Table2[[#This Row],[Units_Shipped]]</f>
        <v>8.9285714285714281E-3</v>
      </c>
      <c r="AB13">
        <f t="shared" si="2"/>
        <v>-176538</v>
      </c>
      <c r="AC13" s="17">
        <f t="shared" si="3"/>
        <v>-8.8136882812663811E-2</v>
      </c>
    </row>
    <row r="14" spans="1:29" x14ac:dyDescent="0.25">
      <c r="A14" t="s">
        <v>79</v>
      </c>
      <c r="B14" s="1">
        <v>46130</v>
      </c>
      <c r="C14" s="1">
        <v>46217</v>
      </c>
      <c r="D14" t="s">
        <v>57</v>
      </c>
      <c r="E14" t="s">
        <v>67</v>
      </c>
      <c r="F14" t="s">
        <v>53</v>
      </c>
      <c r="G14" t="s">
        <v>64</v>
      </c>
      <c r="H14" t="s">
        <v>65</v>
      </c>
      <c r="I14" t="s">
        <v>80</v>
      </c>
      <c r="J14" t="s">
        <v>80</v>
      </c>
      <c r="K14" s="14" t="str">
        <f t="shared" si="0"/>
        <v>Plateau → Enugu</v>
      </c>
      <c r="L14" t="s">
        <v>41</v>
      </c>
      <c r="M14">
        <v>7</v>
      </c>
      <c r="N14">
        <v>7</v>
      </c>
      <c r="O14">
        <v>0</v>
      </c>
      <c r="P14">
        <v>383</v>
      </c>
      <c r="Q14" s="14" t="str">
        <f t="shared" si="1"/>
        <v>251–500 km</v>
      </c>
      <c r="R14" s="14" t="str">
        <f>IF(Table2[[#This Row],[Distance Bands]]="0–100 km","Short",
IF(Table2[[#This Row],[Distance Bands]]="101–250 km","Medium",
IF(Table2[[#This Row],[Distance Bands]]="251–500 km","Long",
IF(Table2[[#This Row],[Distance Bands]]="501–1,000 km","Very Long",
"Extreme"))))</f>
        <v>Long</v>
      </c>
      <c r="S14" s="13">
        <f>Table2[[#This Row],[Freight_Cost_NGN]]/Table2[[#This Row],[Distance_km]]</f>
        <v>804.92689295039168</v>
      </c>
      <c r="T14">
        <v>1</v>
      </c>
      <c r="U14">
        <v>1</v>
      </c>
      <c r="V14" s="14">
        <f>Table2[[#This Row],[Actual_Transit_Days]]-Table2[[#This Row],[Planned_Transit_Days]]</f>
        <v>0</v>
      </c>
      <c r="W14">
        <v>308287</v>
      </c>
      <c r="X14">
        <v>309360</v>
      </c>
      <c r="Y14" t="s">
        <v>42</v>
      </c>
      <c r="Z14" s="14">
        <f>IF(Table2[[#This Row],[Delivery_Date]]&lt;=Table2[[#This Row],[Planned_Date]],1,0)</f>
        <v>0</v>
      </c>
      <c r="AA14" s="18">
        <f>Table2[[#This Row],[Units_Damaged]]/Table2[[#This Row],[Units_Shipped]]</f>
        <v>0</v>
      </c>
      <c r="AB14">
        <f t="shared" si="2"/>
        <v>-1073</v>
      </c>
      <c r="AC14" s="17">
        <f t="shared" si="3"/>
        <v>-3.4684509956038273E-3</v>
      </c>
    </row>
    <row r="15" spans="1:29" x14ac:dyDescent="0.25">
      <c r="A15" t="s">
        <v>81</v>
      </c>
      <c r="B15" s="1">
        <v>46131</v>
      </c>
      <c r="C15" s="1">
        <v>46089</v>
      </c>
      <c r="D15" t="s">
        <v>35</v>
      </c>
      <c r="E15" t="s">
        <v>36</v>
      </c>
      <c r="F15" t="s">
        <v>46</v>
      </c>
      <c r="G15" t="s">
        <v>38</v>
      </c>
      <c r="H15" t="s">
        <v>38</v>
      </c>
      <c r="I15" t="s">
        <v>47</v>
      </c>
      <c r="J15" t="s">
        <v>48</v>
      </c>
      <c r="K15" s="14" t="str">
        <f t="shared" si="0"/>
        <v>Kano → Cross River</v>
      </c>
      <c r="L15" t="s">
        <v>41</v>
      </c>
      <c r="M15">
        <v>117</v>
      </c>
      <c r="N15">
        <v>113</v>
      </c>
      <c r="O15">
        <v>4</v>
      </c>
      <c r="P15">
        <v>521</v>
      </c>
      <c r="Q15" s="14" t="str">
        <f t="shared" si="1"/>
        <v>501–1,000 km</v>
      </c>
      <c r="R15" s="14" t="str">
        <f>IF(Table2[[#This Row],[Distance Bands]]="0–100 km","Short",
IF(Table2[[#This Row],[Distance Bands]]="101–250 km","Medium",
IF(Table2[[#This Row],[Distance Bands]]="251–500 km","Long",
IF(Table2[[#This Row],[Distance Bands]]="501–1,000 km","Very Long",
"Extreme"))))</f>
        <v>Very Long</v>
      </c>
      <c r="S15" s="13">
        <f>Table2[[#This Row],[Freight_Cost_NGN]]/Table2[[#This Row],[Distance_km]]</f>
        <v>2690.3378119001918</v>
      </c>
      <c r="T15">
        <v>3</v>
      </c>
      <c r="U15">
        <v>4</v>
      </c>
      <c r="V15" s="14">
        <f>Table2[[#This Row],[Actual_Transit_Days]]-Table2[[#This Row],[Planned_Transit_Days]]</f>
        <v>1</v>
      </c>
      <c r="W15">
        <v>1401666</v>
      </c>
      <c r="X15">
        <v>1358740</v>
      </c>
      <c r="Y15" t="s">
        <v>33</v>
      </c>
      <c r="Z15" s="14">
        <f>IF(Table2[[#This Row],[Delivery_Date]]&lt;=Table2[[#This Row],[Planned_Date]],1,0)</f>
        <v>1</v>
      </c>
      <c r="AA15" s="18">
        <f>Table2[[#This Row],[Units_Damaged]]/Table2[[#This Row],[Units_Shipped]]</f>
        <v>3.4188034188034191E-2</v>
      </c>
      <c r="AB15">
        <f t="shared" si="2"/>
        <v>42926</v>
      </c>
      <c r="AC15" s="17">
        <f t="shared" si="3"/>
        <v>3.1592504820642651E-2</v>
      </c>
    </row>
    <row r="16" spans="1:29" x14ac:dyDescent="0.25">
      <c r="A16" t="s">
        <v>82</v>
      </c>
      <c r="B16" s="1">
        <v>46132</v>
      </c>
      <c r="C16" s="1">
        <v>46081</v>
      </c>
      <c r="D16" t="s">
        <v>77</v>
      </c>
      <c r="E16" t="s">
        <v>57</v>
      </c>
      <c r="F16" t="s">
        <v>37</v>
      </c>
      <c r="G16" t="s">
        <v>58</v>
      </c>
      <c r="H16" t="s">
        <v>59</v>
      </c>
      <c r="I16" t="s">
        <v>39</v>
      </c>
      <c r="J16" t="s">
        <v>40</v>
      </c>
      <c r="K16" s="14" t="str">
        <f t="shared" si="0"/>
        <v>Ogun → Anambra</v>
      </c>
      <c r="L16" t="s">
        <v>60</v>
      </c>
      <c r="M16">
        <v>133</v>
      </c>
      <c r="N16">
        <v>129</v>
      </c>
      <c r="O16">
        <v>4</v>
      </c>
      <c r="P16">
        <v>427</v>
      </c>
      <c r="Q16" s="14" t="str">
        <f t="shared" si="1"/>
        <v>251–500 km</v>
      </c>
      <c r="R16" s="14" t="str">
        <f>IF(Table2[[#This Row],[Distance Bands]]="0–100 km","Short",
IF(Table2[[#This Row],[Distance Bands]]="101–250 km","Medium",
IF(Table2[[#This Row],[Distance Bands]]="251–500 km","Long",
IF(Table2[[#This Row],[Distance Bands]]="501–1,000 km","Very Long",
"Extreme"))))</f>
        <v>Long</v>
      </c>
      <c r="S16" s="13">
        <f>Table2[[#This Row],[Freight_Cost_NGN]]/Table2[[#This Row],[Distance_km]]</f>
        <v>3238.5737704918033</v>
      </c>
      <c r="T16">
        <v>1</v>
      </c>
      <c r="U16">
        <v>1</v>
      </c>
      <c r="V16" s="14">
        <f>Table2[[#This Row],[Actual_Transit_Days]]-Table2[[#This Row],[Planned_Transit_Days]]</f>
        <v>0</v>
      </c>
      <c r="W16">
        <v>1382871</v>
      </c>
      <c r="X16">
        <v>1407611</v>
      </c>
      <c r="Y16" t="s">
        <v>42</v>
      </c>
      <c r="Z16" s="14">
        <f>IF(Table2[[#This Row],[Delivery_Date]]&lt;=Table2[[#This Row],[Planned_Date]],1,0)</f>
        <v>1</v>
      </c>
      <c r="AA16" s="18">
        <f>Table2[[#This Row],[Units_Damaged]]/Table2[[#This Row],[Units_Shipped]]</f>
        <v>3.007518796992481E-2</v>
      </c>
      <c r="AB16">
        <f t="shared" si="2"/>
        <v>-24740</v>
      </c>
      <c r="AC16" s="17">
        <f t="shared" si="3"/>
        <v>-1.7575878563040499E-2</v>
      </c>
    </row>
    <row r="17" spans="1:29" x14ac:dyDescent="0.25">
      <c r="A17" t="s">
        <v>83</v>
      </c>
      <c r="B17" s="1">
        <v>46133</v>
      </c>
      <c r="C17" s="1">
        <v>46176</v>
      </c>
      <c r="D17" t="s">
        <v>62</v>
      </c>
      <c r="E17" t="s">
        <v>36</v>
      </c>
      <c r="F17" t="s">
        <v>53</v>
      </c>
      <c r="G17" t="s">
        <v>38</v>
      </c>
      <c r="H17" t="s">
        <v>38</v>
      </c>
      <c r="I17" t="s">
        <v>80</v>
      </c>
      <c r="J17" t="s">
        <v>80</v>
      </c>
      <c r="K17" s="14" t="str">
        <f t="shared" si="0"/>
        <v>Kano → Enugu</v>
      </c>
      <c r="L17" t="s">
        <v>41</v>
      </c>
      <c r="M17">
        <v>120</v>
      </c>
      <c r="N17">
        <v>119</v>
      </c>
      <c r="O17">
        <v>1</v>
      </c>
      <c r="P17">
        <v>634</v>
      </c>
      <c r="Q17" s="14" t="str">
        <f t="shared" si="1"/>
        <v>501–1,000 km</v>
      </c>
      <c r="R17" s="14" t="str">
        <f>IF(Table2[[#This Row],[Distance Bands]]="0–100 km","Short",
IF(Table2[[#This Row],[Distance Bands]]="101–250 km","Medium",
IF(Table2[[#This Row],[Distance Bands]]="251–500 km","Long",
IF(Table2[[#This Row],[Distance Bands]]="501–1,000 km","Very Long",
"Extreme"))))</f>
        <v>Very Long</v>
      </c>
      <c r="S17" s="13">
        <f>Table2[[#This Row],[Freight_Cost_NGN]]/Table2[[#This Row],[Distance_km]]</f>
        <v>1433.0220820189274</v>
      </c>
      <c r="T17">
        <v>5</v>
      </c>
      <c r="U17">
        <v>5</v>
      </c>
      <c r="V17" s="14">
        <f>Table2[[#This Row],[Actual_Transit_Days]]-Table2[[#This Row],[Planned_Transit_Days]]</f>
        <v>0</v>
      </c>
      <c r="W17">
        <v>908536</v>
      </c>
      <c r="X17">
        <v>984204</v>
      </c>
      <c r="Y17" t="s">
        <v>42</v>
      </c>
      <c r="Z17" s="14">
        <f>IF(Table2[[#This Row],[Delivery_Date]]&lt;=Table2[[#This Row],[Planned_Date]],1,0)</f>
        <v>0</v>
      </c>
      <c r="AA17" s="18">
        <f>Table2[[#This Row],[Units_Damaged]]/Table2[[#This Row],[Units_Shipped]]</f>
        <v>8.3333333333333332E-3</v>
      </c>
      <c r="AB17">
        <f t="shared" si="2"/>
        <v>-75668</v>
      </c>
      <c r="AC17" s="17">
        <f t="shared" si="3"/>
        <v>-7.6882434942349351E-2</v>
      </c>
    </row>
    <row r="18" spans="1:29" x14ac:dyDescent="0.25">
      <c r="A18" t="s">
        <v>84</v>
      </c>
      <c r="B18" s="1">
        <v>46134</v>
      </c>
      <c r="C18" s="1">
        <v>46192</v>
      </c>
      <c r="D18" t="s">
        <v>44</v>
      </c>
      <c r="E18" t="s">
        <v>85</v>
      </c>
      <c r="F18" t="s">
        <v>46</v>
      </c>
      <c r="G18" t="s">
        <v>39</v>
      </c>
      <c r="H18" t="s">
        <v>40</v>
      </c>
      <c r="I18" t="s">
        <v>80</v>
      </c>
      <c r="J18" t="s">
        <v>80</v>
      </c>
      <c r="K18" s="14" t="str">
        <f t="shared" si="0"/>
        <v>Anambra → Enugu</v>
      </c>
      <c r="L18" t="s">
        <v>32</v>
      </c>
      <c r="M18">
        <v>151</v>
      </c>
      <c r="N18">
        <v>148</v>
      </c>
      <c r="O18">
        <v>3</v>
      </c>
      <c r="P18">
        <v>172</v>
      </c>
      <c r="Q18" s="14" t="str">
        <f t="shared" si="1"/>
        <v>101–250 km</v>
      </c>
      <c r="R18" s="14" t="str">
        <f>IF(Table2[[#This Row],[Distance Bands]]="0–100 km","Short",
IF(Table2[[#This Row],[Distance Bands]]="101–250 km","Medium",
IF(Table2[[#This Row],[Distance Bands]]="251–500 km","Long",
IF(Table2[[#This Row],[Distance Bands]]="501–1,000 km","Very Long",
"Extreme"))))</f>
        <v>Medium</v>
      </c>
      <c r="S18" s="13">
        <f>Table2[[#This Row],[Freight_Cost_NGN]]/Table2[[#This Row],[Distance_km]]</f>
        <v>6854.1686046511632</v>
      </c>
      <c r="T18">
        <v>1</v>
      </c>
      <c r="U18">
        <v>2</v>
      </c>
      <c r="V18" s="14">
        <f>Table2[[#This Row],[Actual_Transit_Days]]-Table2[[#This Row],[Planned_Transit_Days]]</f>
        <v>1</v>
      </c>
      <c r="W18">
        <v>1178917</v>
      </c>
      <c r="X18">
        <v>1125716</v>
      </c>
      <c r="Y18" t="s">
        <v>33</v>
      </c>
      <c r="Z18" s="14">
        <f>IF(Table2[[#This Row],[Delivery_Date]]&lt;=Table2[[#This Row],[Planned_Date]],1,0)</f>
        <v>0</v>
      </c>
      <c r="AA18" s="18">
        <f>Table2[[#This Row],[Units_Damaged]]/Table2[[#This Row],[Units_Shipped]]</f>
        <v>1.9867549668874173E-2</v>
      </c>
      <c r="AB18">
        <f t="shared" si="2"/>
        <v>53201</v>
      </c>
      <c r="AC18" s="17">
        <f t="shared" si="3"/>
        <v>4.7259699604518368E-2</v>
      </c>
    </row>
    <row r="19" spans="1:29" x14ac:dyDescent="0.25">
      <c r="A19" t="s">
        <v>86</v>
      </c>
      <c r="B19" s="1">
        <v>46135</v>
      </c>
      <c r="C19" s="1">
        <v>46218</v>
      </c>
      <c r="D19" t="s">
        <v>35</v>
      </c>
      <c r="E19" t="s">
        <v>85</v>
      </c>
      <c r="F19" t="s">
        <v>53</v>
      </c>
      <c r="G19" t="s">
        <v>80</v>
      </c>
      <c r="H19" t="s">
        <v>80</v>
      </c>
      <c r="I19" t="s">
        <v>39</v>
      </c>
      <c r="J19" t="s">
        <v>40</v>
      </c>
      <c r="K19" s="14" t="str">
        <f t="shared" si="0"/>
        <v>Enugu → Anambra</v>
      </c>
      <c r="L19" t="s">
        <v>41</v>
      </c>
      <c r="M19">
        <v>46</v>
      </c>
      <c r="N19">
        <v>45</v>
      </c>
      <c r="O19">
        <v>1</v>
      </c>
      <c r="P19">
        <v>635</v>
      </c>
      <c r="Q19" s="14" t="str">
        <f t="shared" si="1"/>
        <v>501–1,000 km</v>
      </c>
      <c r="R19" s="14" t="str">
        <f>IF(Table2[[#This Row],[Distance Bands]]="0–100 km","Short",
IF(Table2[[#This Row],[Distance Bands]]="101–250 km","Medium",
IF(Table2[[#This Row],[Distance Bands]]="251–500 km","Long",
IF(Table2[[#This Row],[Distance Bands]]="501–1,000 km","Very Long",
"Extreme"))))</f>
        <v>Very Long</v>
      </c>
      <c r="S19" s="13">
        <f>Table2[[#This Row],[Freight_Cost_NGN]]/Table2[[#This Row],[Distance_km]]</f>
        <v>745.96377952755904</v>
      </c>
      <c r="T19">
        <v>2</v>
      </c>
      <c r="U19">
        <v>7</v>
      </c>
      <c r="V19" s="14">
        <f>Table2[[#This Row],[Actual_Transit_Days]]-Table2[[#This Row],[Planned_Transit_Days]]</f>
        <v>5</v>
      </c>
      <c r="W19">
        <v>473687</v>
      </c>
      <c r="X19">
        <v>452366</v>
      </c>
      <c r="Y19" t="s">
        <v>75</v>
      </c>
      <c r="Z19" s="14">
        <f>IF(Table2[[#This Row],[Delivery_Date]]&lt;=Table2[[#This Row],[Planned_Date]],1,0)</f>
        <v>0</v>
      </c>
      <c r="AA19" s="18">
        <f>Table2[[#This Row],[Units_Damaged]]/Table2[[#This Row],[Units_Shipped]]</f>
        <v>2.1739130434782608E-2</v>
      </c>
      <c r="AB19">
        <f t="shared" si="2"/>
        <v>21321</v>
      </c>
      <c r="AC19" s="17">
        <f t="shared" si="3"/>
        <v>4.7132189421839839E-2</v>
      </c>
    </row>
    <row r="20" spans="1:29" x14ac:dyDescent="0.25">
      <c r="A20" t="s">
        <v>87</v>
      </c>
      <c r="B20" s="1">
        <v>46136</v>
      </c>
      <c r="C20" s="1">
        <v>46040</v>
      </c>
      <c r="D20" t="s">
        <v>57</v>
      </c>
      <c r="E20" t="s">
        <v>52</v>
      </c>
      <c r="F20" t="s">
        <v>53</v>
      </c>
      <c r="G20" t="s">
        <v>88</v>
      </c>
      <c r="H20" t="s">
        <v>89</v>
      </c>
      <c r="I20" t="s">
        <v>80</v>
      </c>
      <c r="J20" t="s">
        <v>80</v>
      </c>
      <c r="K20" s="14" t="str">
        <f t="shared" si="0"/>
        <v>Edo → Enugu</v>
      </c>
      <c r="L20" t="s">
        <v>41</v>
      </c>
      <c r="M20">
        <v>135</v>
      </c>
      <c r="N20">
        <v>132</v>
      </c>
      <c r="O20">
        <v>3</v>
      </c>
      <c r="P20">
        <v>428</v>
      </c>
      <c r="Q20" s="14" t="str">
        <f t="shared" si="1"/>
        <v>251–500 km</v>
      </c>
      <c r="R20" s="14" t="str">
        <f>IF(Table2[[#This Row],[Distance Bands]]="0–100 km","Short",
IF(Table2[[#This Row],[Distance Bands]]="101–250 km","Medium",
IF(Table2[[#This Row],[Distance Bands]]="251–500 km","Long",
IF(Table2[[#This Row],[Distance Bands]]="501–1,000 km","Very Long",
"Extreme"))))</f>
        <v>Long</v>
      </c>
      <c r="S20" s="13">
        <f>Table2[[#This Row],[Freight_Cost_NGN]]/Table2[[#This Row],[Distance_km]]</f>
        <v>3607.9649532710282</v>
      </c>
      <c r="T20">
        <v>3</v>
      </c>
      <c r="U20">
        <v>5</v>
      </c>
      <c r="V20" s="14">
        <f>Table2[[#This Row],[Actual_Transit_Days]]-Table2[[#This Row],[Planned_Transit_Days]]</f>
        <v>2</v>
      </c>
      <c r="W20">
        <v>1544209</v>
      </c>
      <c r="X20">
        <v>1661530</v>
      </c>
      <c r="Y20" t="s">
        <v>33</v>
      </c>
      <c r="Z20" s="14">
        <f>IF(Table2[[#This Row],[Delivery_Date]]&lt;=Table2[[#This Row],[Planned_Date]],1,0)</f>
        <v>1</v>
      </c>
      <c r="AA20" s="18">
        <f>Table2[[#This Row],[Units_Damaged]]/Table2[[#This Row],[Units_Shipped]]</f>
        <v>2.2222222222222223E-2</v>
      </c>
      <c r="AB20">
        <f t="shared" si="2"/>
        <v>-117321</v>
      </c>
      <c r="AC20" s="17">
        <f t="shared" si="3"/>
        <v>-7.0610220700198012E-2</v>
      </c>
    </row>
    <row r="21" spans="1:29" x14ac:dyDescent="0.25">
      <c r="A21" t="s">
        <v>90</v>
      </c>
      <c r="B21" s="1">
        <v>46137</v>
      </c>
      <c r="C21" s="1">
        <v>46114</v>
      </c>
      <c r="D21" t="s">
        <v>77</v>
      </c>
      <c r="E21" t="s">
        <v>52</v>
      </c>
      <c r="F21" t="s">
        <v>53</v>
      </c>
      <c r="G21" t="s">
        <v>91</v>
      </c>
      <c r="H21" t="s">
        <v>92</v>
      </c>
      <c r="I21" t="s">
        <v>38</v>
      </c>
      <c r="J21" t="s">
        <v>38</v>
      </c>
      <c r="K21" s="14" t="str">
        <f t="shared" si="0"/>
        <v>Delta → Kano</v>
      </c>
      <c r="L21" t="s">
        <v>60</v>
      </c>
      <c r="M21">
        <v>103</v>
      </c>
      <c r="N21">
        <v>103</v>
      </c>
      <c r="O21">
        <v>0</v>
      </c>
      <c r="P21">
        <v>177</v>
      </c>
      <c r="Q21" s="14" t="str">
        <f t="shared" si="1"/>
        <v>101–250 km</v>
      </c>
      <c r="R21" s="14" t="str">
        <f>IF(Table2[[#This Row],[Distance Bands]]="0–100 km","Short",
IF(Table2[[#This Row],[Distance Bands]]="101–250 km","Medium",
IF(Table2[[#This Row],[Distance Bands]]="251–500 km","Long",
IF(Table2[[#This Row],[Distance Bands]]="501–1,000 km","Very Long",
"Extreme"))))</f>
        <v>Medium</v>
      </c>
      <c r="S21" s="13">
        <f>Table2[[#This Row],[Freight_Cost_NGN]]/Table2[[#This Row],[Distance_km]]</f>
        <v>4874.7118644067796</v>
      </c>
      <c r="T21">
        <v>4</v>
      </c>
      <c r="U21">
        <v>4</v>
      </c>
      <c r="V21" s="14">
        <f>Table2[[#This Row],[Actual_Transit_Days]]-Table2[[#This Row],[Planned_Transit_Days]]</f>
        <v>0</v>
      </c>
      <c r="W21">
        <v>862824</v>
      </c>
      <c r="X21">
        <v>846493</v>
      </c>
      <c r="Y21" t="s">
        <v>42</v>
      </c>
      <c r="Z21" s="14">
        <f>IF(Table2[[#This Row],[Delivery_Date]]&lt;=Table2[[#This Row],[Planned_Date]],1,0)</f>
        <v>1</v>
      </c>
      <c r="AA21" s="18">
        <f>Table2[[#This Row],[Units_Damaged]]/Table2[[#This Row],[Units_Shipped]]</f>
        <v>0</v>
      </c>
      <c r="AB21">
        <f t="shared" si="2"/>
        <v>16331</v>
      </c>
      <c r="AC21" s="17">
        <f t="shared" si="3"/>
        <v>1.9292539926496734E-2</v>
      </c>
    </row>
    <row r="22" spans="1:29" x14ac:dyDescent="0.25">
      <c r="A22" t="s">
        <v>93</v>
      </c>
      <c r="B22" s="1">
        <v>46138</v>
      </c>
      <c r="C22" s="1">
        <v>46049</v>
      </c>
      <c r="D22" t="s">
        <v>57</v>
      </c>
      <c r="E22" t="s">
        <v>36</v>
      </c>
      <c r="F22" t="s">
        <v>63</v>
      </c>
      <c r="G22" t="s">
        <v>72</v>
      </c>
      <c r="H22" t="s">
        <v>72</v>
      </c>
      <c r="I22" t="s">
        <v>54</v>
      </c>
      <c r="J22" t="s">
        <v>55</v>
      </c>
      <c r="K22" s="14" t="str">
        <f t="shared" si="0"/>
        <v>Lagos → Rivers</v>
      </c>
      <c r="L22" t="s">
        <v>41</v>
      </c>
      <c r="M22">
        <v>140</v>
      </c>
      <c r="N22">
        <v>139</v>
      </c>
      <c r="O22">
        <v>1</v>
      </c>
      <c r="P22">
        <v>159</v>
      </c>
      <c r="Q22" s="14" t="str">
        <f t="shared" si="1"/>
        <v>101–250 km</v>
      </c>
      <c r="R22" s="14" t="str">
        <f>IF(Table2[[#This Row],[Distance Bands]]="0–100 km","Short",
IF(Table2[[#This Row],[Distance Bands]]="101–250 km","Medium",
IF(Table2[[#This Row],[Distance Bands]]="251–500 km","Long",
IF(Table2[[#This Row],[Distance Bands]]="501–1,000 km","Very Long",
"Extreme"))))</f>
        <v>Medium</v>
      </c>
      <c r="S22" s="13">
        <f>Table2[[#This Row],[Freight_Cost_NGN]]/Table2[[#This Row],[Distance_km]]</f>
        <v>5584.7169811320755</v>
      </c>
      <c r="T22">
        <v>2</v>
      </c>
      <c r="U22">
        <v>2</v>
      </c>
      <c r="V22" s="14">
        <f>Table2[[#This Row],[Actual_Transit_Days]]-Table2[[#This Row],[Planned_Transit_Days]]</f>
        <v>0</v>
      </c>
      <c r="W22">
        <v>887970</v>
      </c>
      <c r="X22">
        <v>871642</v>
      </c>
      <c r="Y22" t="s">
        <v>42</v>
      </c>
      <c r="Z22" s="14">
        <f>IF(Table2[[#This Row],[Delivery_Date]]&lt;=Table2[[#This Row],[Planned_Date]],1,0)</f>
        <v>1</v>
      </c>
      <c r="AA22" s="18">
        <f>Table2[[#This Row],[Units_Damaged]]/Table2[[#This Row],[Units_Shipped]]</f>
        <v>7.1428571428571426E-3</v>
      </c>
      <c r="AB22">
        <f t="shared" si="2"/>
        <v>16328</v>
      </c>
      <c r="AC22" s="17">
        <f t="shared" si="3"/>
        <v>1.8732461262766134E-2</v>
      </c>
    </row>
    <row r="23" spans="1:29" x14ac:dyDescent="0.25">
      <c r="A23" t="s">
        <v>94</v>
      </c>
      <c r="B23" s="1">
        <v>46139</v>
      </c>
      <c r="C23" s="1">
        <v>46041</v>
      </c>
      <c r="D23" t="s">
        <v>35</v>
      </c>
      <c r="E23" t="s">
        <v>85</v>
      </c>
      <c r="F23" t="s">
        <v>46</v>
      </c>
      <c r="G23" t="s">
        <v>73</v>
      </c>
      <c r="H23" t="s">
        <v>74</v>
      </c>
      <c r="I23" t="s">
        <v>91</v>
      </c>
      <c r="J23" t="s">
        <v>92</v>
      </c>
      <c r="K23" s="14" t="str">
        <f t="shared" si="0"/>
        <v>Oyo → Delta</v>
      </c>
      <c r="L23" t="s">
        <v>41</v>
      </c>
      <c r="M23">
        <v>34</v>
      </c>
      <c r="N23">
        <v>33</v>
      </c>
      <c r="O23">
        <v>1</v>
      </c>
      <c r="P23">
        <v>633</v>
      </c>
      <c r="Q23" s="14" t="str">
        <f t="shared" si="1"/>
        <v>501–1,000 km</v>
      </c>
      <c r="R23" s="14" t="str">
        <f>IF(Table2[[#This Row],[Distance Bands]]="0–100 km","Short",
IF(Table2[[#This Row],[Distance Bands]]="101–250 km","Medium",
IF(Table2[[#This Row],[Distance Bands]]="251–500 km","Long",
IF(Table2[[#This Row],[Distance Bands]]="501–1,000 km","Very Long",
"Extreme"))))</f>
        <v>Very Long</v>
      </c>
      <c r="S23" s="13">
        <f>Table2[[#This Row],[Freight_Cost_NGN]]/Table2[[#This Row],[Distance_km]]</f>
        <v>1215.8751974723539</v>
      </c>
      <c r="T23">
        <v>4</v>
      </c>
      <c r="U23">
        <v>7</v>
      </c>
      <c r="V23" s="14">
        <f>Table2[[#This Row],[Actual_Transit_Days]]-Table2[[#This Row],[Planned_Transit_Days]]</f>
        <v>3</v>
      </c>
      <c r="W23">
        <v>769649</v>
      </c>
      <c r="X23">
        <v>841098</v>
      </c>
      <c r="Y23" t="s">
        <v>33</v>
      </c>
      <c r="Z23" s="14">
        <f>IF(Table2[[#This Row],[Delivery_Date]]&lt;=Table2[[#This Row],[Planned_Date]],1,0)</f>
        <v>1</v>
      </c>
      <c r="AA23" s="18">
        <f>Table2[[#This Row],[Units_Damaged]]/Table2[[#This Row],[Units_Shipped]]</f>
        <v>2.9411764705882353E-2</v>
      </c>
      <c r="AB23">
        <f t="shared" si="2"/>
        <v>-71449</v>
      </c>
      <c r="AC23" s="17">
        <f t="shared" si="3"/>
        <v>-8.4947295083331556E-2</v>
      </c>
    </row>
    <row r="24" spans="1:29" x14ac:dyDescent="0.25">
      <c r="A24" t="s">
        <v>95</v>
      </c>
      <c r="B24" s="1">
        <v>46140</v>
      </c>
      <c r="C24" s="1">
        <v>46254</v>
      </c>
      <c r="D24" t="s">
        <v>57</v>
      </c>
      <c r="E24" t="s">
        <v>45</v>
      </c>
      <c r="F24" t="s">
        <v>46</v>
      </c>
      <c r="G24" t="s">
        <v>39</v>
      </c>
      <c r="H24" t="s">
        <v>40</v>
      </c>
      <c r="I24" t="s">
        <v>54</v>
      </c>
      <c r="J24" t="s">
        <v>55</v>
      </c>
      <c r="K24" s="14" t="str">
        <f t="shared" si="0"/>
        <v>Anambra → Rivers</v>
      </c>
      <c r="L24" t="s">
        <v>41</v>
      </c>
      <c r="M24">
        <v>128</v>
      </c>
      <c r="N24">
        <v>128</v>
      </c>
      <c r="O24">
        <v>0</v>
      </c>
      <c r="P24">
        <v>769</v>
      </c>
      <c r="Q24" s="14" t="str">
        <f t="shared" si="1"/>
        <v>501–1,000 km</v>
      </c>
      <c r="R24" s="14" t="str">
        <f>IF(Table2[[#This Row],[Distance Bands]]="0–100 km","Short",
IF(Table2[[#This Row],[Distance Bands]]="101–250 km","Medium",
IF(Table2[[#This Row],[Distance Bands]]="251–500 km","Long",
IF(Table2[[#This Row],[Distance Bands]]="501–1,000 km","Very Long",
"Extreme"))))</f>
        <v>Very Long</v>
      </c>
      <c r="S24" s="13">
        <f>Table2[[#This Row],[Freight_Cost_NGN]]/Table2[[#This Row],[Distance_km]]</f>
        <v>1354.4616384915475</v>
      </c>
      <c r="T24">
        <v>3</v>
      </c>
      <c r="U24">
        <v>7</v>
      </c>
      <c r="V24" s="14">
        <f>Table2[[#This Row],[Actual_Transit_Days]]-Table2[[#This Row],[Planned_Transit_Days]]</f>
        <v>4</v>
      </c>
      <c r="W24">
        <v>1041581</v>
      </c>
      <c r="X24">
        <v>1027155</v>
      </c>
      <c r="Y24" t="s">
        <v>75</v>
      </c>
      <c r="Z24" s="14">
        <f>IF(Table2[[#This Row],[Delivery_Date]]&lt;=Table2[[#This Row],[Planned_Date]],1,0)</f>
        <v>0</v>
      </c>
      <c r="AA24" s="18">
        <f>Table2[[#This Row],[Units_Damaged]]/Table2[[#This Row],[Units_Shipped]]</f>
        <v>0</v>
      </c>
      <c r="AB24">
        <f t="shared" si="2"/>
        <v>14426</v>
      </c>
      <c r="AC24" s="17">
        <f t="shared" si="3"/>
        <v>1.4044618387682482E-2</v>
      </c>
    </row>
    <row r="25" spans="1:29" x14ac:dyDescent="0.25">
      <c r="A25" t="s">
        <v>96</v>
      </c>
      <c r="B25" s="1">
        <v>46141</v>
      </c>
      <c r="C25" s="1">
        <v>46241</v>
      </c>
      <c r="D25" t="s">
        <v>57</v>
      </c>
      <c r="E25" t="s">
        <v>67</v>
      </c>
      <c r="F25" t="s">
        <v>28</v>
      </c>
      <c r="G25" t="s">
        <v>30</v>
      </c>
      <c r="H25" t="s">
        <v>31</v>
      </c>
      <c r="I25" t="s">
        <v>47</v>
      </c>
      <c r="J25" t="s">
        <v>48</v>
      </c>
      <c r="K25" s="14" t="str">
        <f t="shared" si="0"/>
        <v>Kwara → Cross River</v>
      </c>
      <c r="L25" t="s">
        <v>41</v>
      </c>
      <c r="M25">
        <v>71</v>
      </c>
      <c r="N25">
        <v>69</v>
      </c>
      <c r="O25">
        <v>2</v>
      </c>
      <c r="P25">
        <v>152</v>
      </c>
      <c r="Q25" s="14" t="str">
        <f t="shared" si="1"/>
        <v>101–250 km</v>
      </c>
      <c r="R25" s="14" t="str">
        <f>IF(Table2[[#This Row],[Distance Bands]]="0–100 km","Short",
IF(Table2[[#This Row],[Distance Bands]]="101–250 km","Medium",
IF(Table2[[#This Row],[Distance Bands]]="251–500 km","Long",
IF(Table2[[#This Row],[Distance Bands]]="501–1,000 km","Very Long",
"Extreme"))))</f>
        <v>Medium</v>
      </c>
      <c r="S25" s="13">
        <f>Table2[[#This Row],[Freight_Cost_NGN]]/Table2[[#This Row],[Distance_km]]</f>
        <v>3322.2368421052633</v>
      </c>
      <c r="T25">
        <v>2</v>
      </c>
      <c r="U25">
        <v>2</v>
      </c>
      <c r="V25" s="14">
        <f>Table2[[#This Row],[Actual_Transit_Days]]-Table2[[#This Row],[Planned_Transit_Days]]</f>
        <v>0</v>
      </c>
      <c r="W25">
        <v>504980</v>
      </c>
      <c r="X25">
        <v>549843</v>
      </c>
      <c r="Y25" t="s">
        <v>42</v>
      </c>
      <c r="Z25" s="14">
        <f>IF(Table2[[#This Row],[Delivery_Date]]&lt;=Table2[[#This Row],[Planned_Date]],1,0)</f>
        <v>0</v>
      </c>
      <c r="AA25" s="18">
        <f>Table2[[#This Row],[Units_Damaged]]/Table2[[#This Row],[Units_Shipped]]</f>
        <v>2.8169014084507043E-2</v>
      </c>
      <c r="AB25">
        <f t="shared" si="2"/>
        <v>-44863</v>
      </c>
      <c r="AC25" s="17">
        <f t="shared" si="3"/>
        <v>-8.1592381825357427E-2</v>
      </c>
    </row>
    <row r="26" spans="1:29" x14ac:dyDescent="0.25">
      <c r="A26" t="s">
        <v>97</v>
      </c>
      <c r="B26" s="1">
        <v>46142</v>
      </c>
      <c r="C26" s="1">
        <v>46137</v>
      </c>
      <c r="D26" t="s">
        <v>62</v>
      </c>
      <c r="E26" t="s">
        <v>45</v>
      </c>
      <c r="F26" t="s">
        <v>28</v>
      </c>
      <c r="G26" t="s">
        <v>49</v>
      </c>
      <c r="H26" t="s">
        <v>50</v>
      </c>
      <c r="I26" t="s">
        <v>72</v>
      </c>
      <c r="J26" t="s">
        <v>72</v>
      </c>
      <c r="K26" s="14" t="str">
        <f t="shared" si="0"/>
        <v>Niger → Lagos</v>
      </c>
      <c r="L26" t="s">
        <v>41</v>
      </c>
      <c r="M26">
        <v>43</v>
      </c>
      <c r="N26">
        <v>43</v>
      </c>
      <c r="O26">
        <v>0</v>
      </c>
      <c r="P26">
        <v>501</v>
      </c>
      <c r="Q26" s="14" t="str">
        <f t="shared" si="1"/>
        <v>501–1,000 km</v>
      </c>
      <c r="R26" s="14" t="str">
        <f>IF(Table2[[#This Row],[Distance Bands]]="0–100 km","Short",
IF(Table2[[#This Row],[Distance Bands]]="101–250 km","Medium",
IF(Table2[[#This Row],[Distance Bands]]="251–500 km","Long",
IF(Table2[[#This Row],[Distance Bands]]="501–1,000 km","Very Long",
"Extreme"))))</f>
        <v>Very Long</v>
      </c>
      <c r="S26" s="13">
        <f>Table2[[#This Row],[Freight_Cost_NGN]]/Table2[[#This Row],[Distance_km]]</f>
        <v>1280.1177644710579</v>
      </c>
      <c r="T26">
        <v>5</v>
      </c>
      <c r="U26">
        <v>7</v>
      </c>
      <c r="V26" s="14">
        <f>Table2[[#This Row],[Actual_Transit_Days]]-Table2[[#This Row],[Planned_Transit_Days]]</f>
        <v>2</v>
      </c>
      <c r="W26">
        <v>641339</v>
      </c>
      <c r="X26">
        <v>643876</v>
      </c>
      <c r="Y26" t="s">
        <v>33</v>
      </c>
      <c r="Z26" s="14">
        <f>IF(Table2[[#This Row],[Delivery_Date]]&lt;=Table2[[#This Row],[Planned_Date]],1,0)</f>
        <v>1</v>
      </c>
      <c r="AA26" s="18">
        <f>Table2[[#This Row],[Units_Damaged]]/Table2[[#This Row],[Units_Shipped]]</f>
        <v>0</v>
      </c>
      <c r="AB26">
        <f t="shared" si="2"/>
        <v>-2537</v>
      </c>
      <c r="AC26" s="17">
        <f t="shared" si="3"/>
        <v>-3.9401996657741556E-3</v>
      </c>
    </row>
    <row r="27" spans="1:29" x14ac:dyDescent="0.25">
      <c r="A27" t="s">
        <v>98</v>
      </c>
      <c r="B27" s="1">
        <v>46143</v>
      </c>
      <c r="C27" s="1">
        <v>46068</v>
      </c>
      <c r="D27" t="s">
        <v>26</v>
      </c>
      <c r="E27" t="s">
        <v>36</v>
      </c>
      <c r="F27" t="s">
        <v>46</v>
      </c>
      <c r="G27" t="s">
        <v>29</v>
      </c>
      <c r="H27" t="s">
        <v>29</v>
      </c>
      <c r="I27" t="s">
        <v>64</v>
      </c>
      <c r="J27" t="s">
        <v>65</v>
      </c>
      <c r="K27" s="14" t="str">
        <f t="shared" si="0"/>
        <v>Kaduna → Plateau</v>
      </c>
      <c r="L27" t="s">
        <v>41</v>
      </c>
      <c r="M27">
        <v>148</v>
      </c>
      <c r="N27">
        <v>147</v>
      </c>
      <c r="O27">
        <v>1</v>
      </c>
      <c r="P27">
        <v>678</v>
      </c>
      <c r="Q27" s="14" t="str">
        <f t="shared" si="1"/>
        <v>501–1,000 km</v>
      </c>
      <c r="R27" s="14" t="str">
        <f>IF(Table2[[#This Row],[Distance Bands]]="0–100 km","Short",
IF(Table2[[#This Row],[Distance Bands]]="101–250 km","Medium",
IF(Table2[[#This Row],[Distance Bands]]="251–500 km","Long",
IF(Table2[[#This Row],[Distance Bands]]="501–1,000 km","Very Long",
"Extreme"))))</f>
        <v>Very Long</v>
      </c>
      <c r="S27" s="13">
        <f>Table2[[#This Row],[Freight_Cost_NGN]]/Table2[[#This Row],[Distance_km]]</f>
        <v>3502.4837758112094</v>
      </c>
      <c r="T27">
        <v>5</v>
      </c>
      <c r="U27">
        <v>6</v>
      </c>
      <c r="V27" s="14">
        <f>Table2[[#This Row],[Actual_Transit_Days]]-Table2[[#This Row],[Planned_Transit_Days]]</f>
        <v>1</v>
      </c>
      <c r="W27">
        <v>2374684</v>
      </c>
      <c r="X27">
        <v>2345235</v>
      </c>
      <c r="Y27" t="s">
        <v>33</v>
      </c>
      <c r="Z27" s="14">
        <f>IF(Table2[[#This Row],[Delivery_Date]]&lt;=Table2[[#This Row],[Planned_Date]],1,0)</f>
        <v>1</v>
      </c>
      <c r="AA27" s="18">
        <f>Table2[[#This Row],[Units_Damaged]]/Table2[[#This Row],[Units_Shipped]]</f>
        <v>6.7567567567567571E-3</v>
      </c>
      <c r="AB27">
        <f t="shared" si="2"/>
        <v>29449</v>
      </c>
      <c r="AC27" s="17">
        <f t="shared" si="3"/>
        <v>1.2556950582777419E-2</v>
      </c>
    </row>
    <row r="28" spans="1:29" x14ac:dyDescent="0.25">
      <c r="A28" t="s">
        <v>99</v>
      </c>
      <c r="B28" s="1">
        <v>46144</v>
      </c>
      <c r="C28" s="1">
        <v>46220</v>
      </c>
      <c r="D28" t="s">
        <v>77</v>
      </c>
      <c r="E28" t="s">
        <v>27</v>
      </c>
      <c r="F28" t="s">
        <v>46</v>
      </c>
      <c r="G28" t="s">
        <v>49</v>
      </c>
      <c r="H28" t="s">
        <v>50</v>
      </c>
      <c r="I28" t="s">
        <v>47</v>
      </c>
      <c r="J28" t="s">
        <v>48</v>
      </c>
      <c r="K28" s="14" t="str">
        <f t="shared" si="0"/>
        <v>Niger → Cross River</v>
      </c>
      <c r="L28" t="s">
        <v>41</v>
      </c>
      <c r="M28">
        <v>90</v>
      </c>
      <c r="N28">
        <v>89</v>
      </c>
      <c r="O28">
        <v>1</v>
      </c>
      <c r="P28">
        <v>329</v>
      </c>
      <c r="Q28" s="14" t="str">
        <f t="shared" si="1"/>
        <v>251–500 km</v>
      </c>
      <c r="R28" s="14" t="str">
        <f>IF(Table2[[#This Row],[Distance Bands]]="0–100 km","Short",
IF(Table2[[#This Row],[Distance Bands]]="101–250 km","Medium",
IF(Table2[[#This Row],[Distance Bands]]="251–500 km","Long",
IF(Table2[[#This Row],[Distance Bands]]="501–1,000 km","Very Long",
"Extreme"))))</f>
        <v>Long</v>
      </c>
      <c r="S28" s="13">
        <f>Table2[[#This Row],[Freight_Cost_NGN]]/Table2[[#This Row],[Distance_km]]</f>
        <v>4260.1246200607902</v>
      </c>
      <c r="T28">
        <v>3</v>
      </c>
      <c r="U28">
        <v>4</v>
      </c>
      <c r="V28" s="14">
        <f>Table2[[#This Row],[Actual_Transit_Days]]-Table2[[#This Row],[Planned_Transit_Days]]</f>
        <v>1</v>
      </c>
      <c r="W28">
        <v>1401581</v>
      </c>
      <c r="X28">
        <v>1520042</v>
      </c>
      <c r="Y28" t="s">
        <v>33</v>
      </c>
      <c r="Z28" s="14">
        <f>IF(Table2[[#This Row],[Delivery_Date]]&lt;=Table2[[#This Row],[Planned_Date]],1,0)</f>
        <v>0</v>
      </c>
      <c r="AA28" s="18">
        <f>Table2[[#This Row],[Units_Damaged]]/Table2[[#This Row],[Units_Shipped]]</f>
        <v>1.1111111111111112E-2</v>
      </c>
      <c r="AB28">
        <f t="shared" si="2"/>
        <v>-118461</v>
      </c>
      <c r="AC28" s="17">
        <f t="shared" si="3"/>
        <v>-7.7932715017085055E-2</v>
      </c>
    </row>
    <row r="29" spans="1:29" x14ac:dyDescent="0.25">
      <c r="A29" t="s">
        <v>100</v>
      </c>
      <c r="B29" s="1">
        <v>46145</v>
      </c>
      <c r="C29" s="1">
        <v>46089</v>
      </c>
      <c r="D29" t="s">
        <v>57</v>
      </c>
      <c r="E29" t="s">
        <v>45</v>
      </c>
      <c r="F29" t="s">
        <v>28</v>
      </c>
      <c r="G29" t="s">
        <v>38</v>
      </c>
      <c r="H29" t="s">
        <v>38</v>
      </c>
      <c r="I29" t="s">
        <v>88</v>
      </c>
      <c r="J29" t="s">
        <v>89</v>
      </c>
      <c r="K29" s="14" t="str">
        <f t="shared" si="0"/>
        <v>Kano → Edo</v>
      </c>
      <c r="L29" t="s">
        <v>32</v>
      </c>
      <c r="M29">
        <v>10</v>
      </c>
      <c r="N29">
        <v>10</v>
      </c>
      <c r="O29">
        <v>0</v>
      </c>
      <c r="P29">
        <v>374</v>
      </c>
      <c r="Q29" s="14" t="str">
        <f t="shared" si="1"/>
        <v>251–500 km</v>
      </c>
      <c r="R29" s="14" t="str">
        <f>IF(Table2[[#This Row],[Distance Bands]]="0–100 km","Short",
IF(Table2[[#This Row],[Distance Bands]]="101–250 km","Medium",
IF(Table2[[#This Row],[Distance Bands]]="251–500 km","Long",
IF(Table2[[#This Row],[Distance Bands]]="501–1,000 km","Very Long",
"Extreme"))))</f>
        <v>Long</v>
      </c>
      <c r="S29" s="13">
        <f>Table2[[#This Row],[Freight_Cost_NGN]]/Table2[[#This Row],[Distance_km]]</f>
        <v>735.06951871657759</v>
      </c>
      <c r="T29">
        <v>2</v>
      </c>
      <c r="U29">
        <v>3</v>
      </c>
      <c r="V29" s="14">
        <f>Table2[[#This Row],[Actual_Transit_Days]]-Table2[[#This Row],[Planned_Transit_Days]]</f>
        <v>1</v>
      </c>
      <c r="W29">
        <v>274916</v>
      </c>
      <c r="X29">
        <v>287970</v>
      </c>
      <c r="Y29" t="s">
        <v>33</v>
      </c>
      <c r="Z29" s="14">
        <f>IF(Table2[[#This Row],[Delivery_Date]]&lt;=Table2[[#This Row],[Planned_Date]],1,0)</f>
        <v>1</v>
      </c>
      <c r="AA29" s="18">
        <f>Table2[[#This Row],[Units_Damaged]]/Table2[[#This Row],[Units_Shipped]]</f>
        <v>0</v>
      </c>
      <c r="AB29">
        <f t="shared" si="2"/>
        <v>-13054</v>
      </c>
      <c r="AC29" s="17">
        <f t="shared" si="3"/>
        <v>-4.5331110879605514E-2</v>
      </c>
    </row>
    <row r="30" spans="1:29" x14ac:dyDescent="0.25">
      <c r="A30" t="s">
        <v>101</v>
      </c>
      <c r="B30" s="1">
        <v>46146</v>
      </c>
      <c r="C30" s="1">
        <v>46257</v>
      </c>
      <c r="D30" t="s">
        <v>44</v>
      </c>
      <c r="E30" t="s">
        <v>85</v>
      </c>
      <c r="F30" t="s">
        <v>46</v>
      </c>
      <c r="G30" t="s">
        <v>29</v>
      </c>
      <c r="H30" t="s">
        <v>29</v>
      </c>
      <c r="I30" t="s">
        <v>49</v>
      </c>
      <c r="J30" t="s">
        <v>50</v>
      </c>
      <c r="K30" s="14" t="str">
        <f t="shared" si="0"/>
        <v>Kaduna → Niger</v>
      </c>
      <c r="L30" t="s">
        <v>41</v>
      </c>
      <c r="M30">
        <v>131</v>
      </c>
      <c r="N30">
        <v>128</v>
      </c>
      <c r="O30">
        <v>3</v>
      </c>
      <c r="P30">
        <v>417</v>
      </c>
      <c r="Q30" s="14" t="str">
        <f t="shared" si="1"/>
        <v>251–500 km</v>
      </c>
      <c r="R30" s="14" t="str">
        <f>IF(Table2[[#This Row],[Distance Bands]]="0–100 km","Short",
IF(Table2[[#This Row],[Distance Bands]]="101–250 km","Medium",
IF(Table2[[#This Row],[Distance Bands]]="251–500 km","Long",
IF(Table2[[#This Row],[Distance Bands]]="501–1,000 km","Very Long",
"Extreme"))))</f>
        <v>Long</v>
      </c>
      <c r="S30" s="13">
        <f>Table2[[#This Row],[Freight_Cost_NGN]]/Table2[[#This Row],[Distance_km]]</f>
        <v>2298.2901678657076</v>
      </c>
      <c r="T30">
        <v>2</v>
      </c>
      <c r="U30">
        <v>2</v>
      </c>
      <c r="V30" s="14">
        <f>Table2[[#This Row],[Actual_Transit_Days]]-Table2[[#This Row],[Planned_Transit_Days]]</f>
        <v>0</v>
      </c>
      <c r="W30">
        <v>958387</v>
      </c>
      <c r="X30">
        <v>914932</v>
      </c>
      <c r="Y30" t="s">
        <v>42</v>
      </c>
      <c r="Z30" s="14">
        <f>IF(Table2[[#This Row],[Delivery_Date]]&lt;=Table2[[#This Row],[Planned_Date]],1,0)</f>
        <v>0</v>
      </c>
      <c r="AA30" s="18">
        <f>Table2[[#This Row],[Units_Damaged]]/Table2[[#This Row],[Units_Shipped]]</f>
        <v>2.2900763358778626E-2</v>
      </c>
      <c r="AB30">
        <f t="shared" si="2"/>
        <v>43455</v>
      </c>
      <c r="AC30" s="17">
        <f t="shared" si="3"/>
        <v>4.7495332986495171E-2</v>
      </c>
    </row>
    <row r="31" spans="1:29" x14ac:dyDescent="0.25">
      <c r="A31" t="s">
        <v>102</v>
      </c>
      <c r="B31" s="1">
        <v>46147</v>
      </c>
      <c r="C31" s="1">
        <v>46148</v>
      </c>
      <c r="D31" t="s">
        <v>62</v>
      </c>
      <c r="E31" t="s">
        <v>103</v>
      </c>
      <c r="F31" t="s">
        <v>53</v>
      </c>
      <c r="G31" t="s">
        <v>38</v>
      </c>
      <c r="H31" t="s">
        <v>38</v>
      </c>
      <c r="I31" t="s">
        <v>68</v>
      </c>
      <c r="J31" t="s">
        <v>69</v>
      </c>
      <c r="K31" s="14" t="str">
        <f t="shared" si="0"/>
        <v>Kano → Abia</v>
      </c>
      <c r="L31" t="s">
        <v>41</v>
      </c>
      <c r="M31">
        <v>73</v>
      </c>
      <c r="N31">
        <v>73</v>
      </c>
      <c r="O31">
        <v>0</v>
      </c>
      <c r="P31">
        <v>814</v>
      </c>
      <c r="Q31" s="14" t="str">
        <f t="shared" si="1"/>
        <v>501–1,000 km</v>
      </c>
      <c r="R31" s="14" t="str">
        <f>IF(Table2[[#This Row],[Distance Bands]]="0–100 km","Short",
IF(Table2[[#This Row],[Distance Bands]]="101–250 km","Medium",
IF(Table2[[#This Row],[Distance Bands]]="251–500 km","Long",
IF(Table2[[#This Row],[Distance Bands]]="501–1,000 km","Very Long",
"Extreme"))))</f>
        <v>Very Long</v>
      </c>
      <c r="S31" s="13">
        <f>Table2[[#This Row],[Freight_Cost_NGN]]/Table2[[#This Row],[Distance_km]]</f>
        <v>1427.6855036855036</v>
      </c>
      <c r="T31">
        <v>4</v>
      </c>
      <c r="U31">
        <v>5</v>
      </c>
      <c r="V31" s="14">
        <f>Table2[[#This Row],[Actual_Transit_Days]]-Table2[[#This Row],[Planned_Transit_Days]]</f>
        <v>1</v>
      </c>
      <c r="W31">
        <v>1162136</v>
      </c>
      <c r="X31">
        <v>1080255</v>
      </c>
      <c r="Y31" t="s">
        <v>33</v>
      </c>
      <c r="Z31" s="14">
        <f>IF(Table2[[#This Row],[Delivery_Date]]&lt;=Table2[[#This Row],[Planned_Date]],1,0)</f>
        <v>0</v>
      </c>
      <c r="AA31" s="18">
        <f>Table2[[#This Row],[Units_Damaged]]/Table2[[#This Row],[Units_Shipped]]</f>
        <v>0</v>
      </c>
      <c r="AB31">
        <f t="shared" si="2"/>
        <v>81881</v>
      </c>
      <c r="AC31" s="17">
        <f t="shared" si="3"/>
        <v>7.5797844027567562E-2</v>
      </c>
    </row>
    <row r="32" spans="1:29" x14ac:dyDescent="0.25">
      <c r="A32" t="s">
        <v>104</v>
      </c>
      <c r="B32" s="1">
        <v>46148</v>
      </c>
      <c r="C32" s="1">
        <v>46128</v>
      </c>
      <c r="D32" t="s">
        <v>26</v>
      </c>
      <c r="E32" t="s">
        <v>103</v>
      </c>
      <c r="F32" t="s">
        <v>63</v>
      </c>
      <c r="G32" t="s">
        <v>88</v>
      </c>
      <c r="H32" t="s">
        <v>89</v>
      </c>
      <c r="I32" t="s">
        <v>47</v>
      </c>
      <c r="J32" t="s">
        <v>48</v>
      </c>
      <c r="K32" s="14" t="str">
        <f t="shared" si="0"/>
        <v>Edo → Cross River</v>
      </c>
      <c r="L32" t="s">
        <v>41</v>
      </c>
      <c r="M32">
        <v>148</v>
      </c>
      <c r="N32">
        <v>145</v>
      </c>
      <c r="O32">
        <v>3</v>
      </c>
      <c r="P32">
        <v>242</v>
      </c>
      <c r="Q32" s="14" t="str">
        <f t="shared" si="1"/>
        <v>101–250 km</v>
      </c>
      <c r="R32" s="14" t="str">
        <f>IF(Table2[[#This Row],[Distance Bands]]="0–100 km","Short",
IF(Table2[[#This Row],[Distance Bands]]="101–250 km","Medium",
IF(Table2[[#This Row],[Distance Bands]]="251–500 km","Long",
IF(Table2[[#This Row],[Distance Bands]]="501–1,000 km","Very Long",
"Extreme"))))</f>
        <v>Medium</v>
      </c>
      <c r="S32" s="13">
        <f>Table2[[#This Row],[Freight_Cost_NGN]]/Table2[[#This Row],[Distance_km]]</f>
        <v>7379.8264462809921</v>
      </c>
      <c r="T32">
        <v>6</v>
      </c>
      <c r="U32">
        <v>8</v>
      </c>
      <c r="V32" s="14">
        <f>Table2[[#This Row],[Actual_Transit_Days]]-Table2[[#This Row],[Planned_Transit_Days]]</f>
        <v>2</v>
      </c>
      <c r="W32">
        <v>1785918</v>
      </c>
      <c r="X32">
        <v>1931260</v>
      </c>
      <c r="Y32" t="s">
        <v>33</v>
      </c>
      <c r="Z32" s="14">
        <f>IF(Table2[[#This Row],[Delivery_Date]]&lt;=Table2[[#This Row],[Planned_Date]],1,0)</f>
        <v>1</v>
      </c>
      <c r="AA32" s="18">
        <f>Table2[[#This Row],[Units_Damaged]]/Table2[[#This Row],[Units_Shipped]]</f>
        <v>2.0270270270270271E-2</v>
      </c>
      <c r="AB32">
        <f t="shared" si="2"/>
        <v>-145342</v>
      </c>
      <c r="AC32" s="17">
        <f t="shared" si="3"/>
        <v>-7.5257603844122486E-2</v>
      </c>
    </row>
    <row r="33" spans="1:29" x14ac:dyDescent="0.25">
      <c r="A33" t="s">
        <v>105</v>
      </c>
      <c r="B33" s="1">
        <v>46149</v>
      </c>
      <c r="C33" s="1">
        <v>46047</v>
      </c>
      <c r="D33" t="s">
        <v>44</v>
      </c>
      <c r="E33" t="s">
        <v>52</v>
      </c>
      <c r="F33" t="s">
        <v>53</v>
      </c>
      <c r="G33" t="s">
        <v>29</v>
      </c>
      <c r="H33" t="s">
        <v>29</v>
      </c>
      <c r="I33" t="s">
        <v>49</v>
      </c>
      <c r="J33" t="s">
        <v>50</v>
      </c>
      <c r="K33" s="14" t="str">
        <f t="shared" si="0"/>
        <v>Kaduna → Niger</v>
      </c>
      <c r="L33" t="s">
        <v>41</v>
      </c>
      <c r="M33">
        <v>142</v>
      </c>
      <c r="N33">
        <v>141</v>
      </c>
      <c r="O33">
        <v>1</v>
      </c>
      <c r="P33">
        <v>786</v>
      </c>
      <c r="Q33" s="14" t="str">
        <f t="shared" si="1"/>
        <v>501–1,000 km</v>
      </c>
      <c r="R33" s="14" t="str">
        <f>IF(Table2[[#This Row],[Distance Bands]]="0–100 km","Short",
IF(Table2[[#This Row],[Distance Bands]]="101–250 km","Medium",
IF(Table2[[#This Row],[Distance Bands]]="251–500 km","Long",
IF(Table2[[#This Row],[Distance Bands]]="501–1,000 km","Very Long",
"Extreme"))))</f>
        <v>Very Long</v>
      </c>
      <c r="S33" s="13">
        <f>Table2[[#This Row],[Freight_Cost_NGN]]/Table2[[#This Row],[Distance_km]]</f>
        <v>1507.6437659033079</v>
      </c>
      <c r="T33">
        <v>7</v>
      </c>
      <c r="U33">
        <v>11</v>
      </c>
      <c r="V33" s="14">
        <f>Table2[[#This Row],[Actual_Transit_Days]]-Table2[[#This Row],[Planned_Transit_Days]]</f>
        <v>4</v>
      </c>
      <c r="W33">
        <v>1185008</v>
      </c>
      <c r="X33">
        <v>1293196</v>
      </c>
      <c r="Y33" t="s">
        <v>75</v>
      </c>
      <c r="Z33" s="14">
        <f>IF(Table2[[#This Row],[Delivery_Date]]&lt;=Table2[[#This Row],[Planned_Date]],1,0)</f>
        <v>1</v>
      </c>
      <c r="AA33" s="18">
        <f>Table2[[#This Row],[Units_Damaged]]/Table2[[#This Row],[Units_Shipped]]</f>
        <v>7.0422535211267607E-3</v>
      </c>
      <c r="AB33">
        <f t="shared" si="2"/>
        <v>-108188</v>
      </c>
      <c r="AC33" s="17">
        <f t="shared" si="3"/>
        <v>-8.3659398884623828E-2</v>
      </c>
    </row>
    <row r="34" spans="1:29" x14ac:dyDescent="0.25">
      <c r="A34" t="s">
        <v>106</v>
      </c>
      <c r="B34" s="1">
        <v>46150</v>
      </c>
      <c r="C34" s="1">
        <v>46183</v>
      </c>
      <c r="D34" t="s">
        <v>44</v>
      </c>
      <c r="E34" t="s">
        <v>36</v>
      </c>
      <c r="F34" t="s">
        <v>53</v>
      </c>
      <c r="G34" t="s">
        <v>80</v>
      </c>
      <c r="H34" t="s">
        <v>80</v>
      </c>
      <c r="I34" t="s">
        <v>30</v>
      </c>
      <c r="J34" t="s">
        <v>31</v>
      </c>
      <c r="K34" s="14" t="str">
        <f t="shared" si="0"/>
        <v>Enugu → Kwara</v>
      </c>
      <c r="L34" t="s">
        <v>60</v>
      </c>
      <c r="M34">
        <v>37</v>
      </c>
      <c r="N34">
        <v>36</v>
      </c>
      <c r="O34">
        <v>1</v>
      </c>
      <c r="P34">
        <v>715</v>
      </c>
      <c r="Q34" s="14" t="str">
        <f t="shared" si="1"/>
        <v>501–1,000 km</v>
      </c>
      <c r="R34" s="14" t="str">
        <f>IF(Table2[[#This Row],[Distance Bands]]="0–100 km","Short",
IF(Table2[[#This Row],[Distance Bands]]="101–250 km","Medium",
IF(Table2[[#This Row],[Distance Bands]]="251–500 km","Long",
IF(Table2[[#This Row],[Distance Bands]]="501–1,000 km","Very Long",
"Extreme"))))</f>
        <v>Very Long</v>
      </c>
      <c r="S34" s="13">
        <f>Table2[[#This Row],[Freight_Cost_NGN]]/Table2[[#This Row],[Distance_km]]</f>
        <v>946.48811188811192</v>
      </c>
      <c r="T34">
        <v>4</v>
      </c>
      <c r="U34">
        <v>5</v>
      </c>
      <c r="V34" s="14">
        <f>Table2[[#This Row],[Actual_Transit_Days]]-Table2[[#This Row],[Planned_Transit_Days]]</f>
        <v>1</v>
      </c>
      <c r="W34">
        <v>676739</v>
      </c>
      <c r="X34">
        <v>674858</v>
      </c>
      <c r="Y34" t="s">
        <v>33</v>
      </c>
      <c r="Z34" s="14">
        <f>IF(Table2[[#This Row],[Delivery_Date]]&lt;=Table2[[#This Row],[Planned_Date]],1,0)</f>
        <v>0</v>
      </c>
      <c r="AA34" s="18">
        <f>Table2[[#This Row],[Units_Damaged]]/Table2[[#This Row],[Units_Shipped]]</f>
        <v>2.7027027027027029E-2</v>
      </c>
      <c r="AB34">
        <f t="shared" si="2"/>
        <v>1881</v>
      </c>
      <c r="AC34" s="17">
        <f t="shared" si="3"/>
        <v>2.7872530221172455E-3</v>
      </c>
    </row>
    <row r="35" spans="1:29" x14ac:dyDescent="0.25">
      <c r="A35" t="s">
        <v>107</v>
      </c>
      <c r="B35" s="1">
        <v>46151</v>
      </c>
      <c r="C35" s="1">
        <v>46124</v>
      </c>
      <c r="D35" t="s">
        <v>62</v>
      </c>
      <c r="E35" t="s">
        <v>36</v>
      </c>
      <c r="F35" t="s">
        <v>63</v>
      </c>
      <c r="G35" t="s">
        <v>68</v>
      </c>
      <c r="H35" t="s">
        <v>69</v>
      </c>
      <c r="I35" t="s">
        <v>39</v>
      </c>
      <c r="J35" t="s">
        <v>40</v>
      </c>
      <c r="K35" s="14" t="str">
        <f t="shared" si="0"/>
        <v>Abia → Anambra</v>
      </c>
      <c r="L35" t="s">
        <v>32</v>
      </c>
      <c r="M35">
        <v>39</v>
      </c>
      <c r="N35">
        <v>39</v>
      </c>
      <c r="O35">
        <v>0</v>
      </c>
      <c r="P35">
        <v>751</v>
      </c>
      <c r="Q35" s="14" t="str">
        <f t="shared" si="1"/>
        <v>501–1,000 km</v>
      </c>
      <c r="R35" s="14" t="str">
        <f>IF(Table2[[#This Row],[Distance Bands]]="0–100 km","Short",
IF(Table2[[#This Row],[Distance Bands]]="101–250 km","Medium",
IF(Table2[[#This Row],[Distance Bands]]="251–500 km","Long",
IF(Table2[[#This Row],[Distance Bands]]="501–1,000 km","Very Long",
"Extreme"))))</f>
        <v>Very Long</v>
      </c>
      <c r="S35" s="13">
        <f>Table2[[#This Row],[Freight_Cost_NGN]]/Table2[[#This Row],[Distance_km]]</f>
        <v>941.3515312916112</v>
      </c>
      <c r="T35">
        <v>3</v>
      </c>
      <c r="U35">
        <v>3</v>
      </c>
      <c r="V35" s="14">
        <f>Table2[[#This Row],[Actual_Transit_Days]]-Table2[[#This Row],[Planned_Transit_Days]]</f>
        <v>0</v>
      </c>
      <c r="W35">
        <v>706955</v>
      </c>
      <c r="X35">
        <v>769856</v>
      </c>
      <c r="Y35" t="s">
        <v>42</v>
      </c>
      <c r="Z35" s="14">
        <f>IF(Table2[[#This Row],[Delivery_Date]]&lt;=Table2[[#This Row],[Planned_Date]],1,0)</f>
        <v>1</v>
      </c>
      <c r="AA35" s="18">
        <f>Table2[[#This Row],[Units_Damaged]]/Table2[[#This Row],[Units_Shipped]]</f>
        <v>0</v>
      </c>
      <c r="AB35">
        <f t="shared" si="2"/>
        <v>-62901</v>
      </c>
      <c r="AC35" s="17">
        <f t="shared" si="3"/>
        <v>-8.1704890265192454E-2</v>
      </c>
    </row>
    <row r="36" spans="1:29" x14ac:dyDescent="0.25">
      <c r="A36" t="s">
        <v>108</v>
      </c>
      <c r="B36" s="1">
        <v>46152</v>
      </c>
      <c r="C36" s="1">
        <v>46248</v>
      </c>
      <c r="D36" t="s">
        <v>77</v>
      </c>
      <c r="E36" t="s">
        <v>67</v>
      </c>
      <c r="F36" t="s">
        <v>46</v>
      </c>
      <c r="G36" t="s">
        <v>38</v>
      </c>
      <c r="H36" t="s">
        <v>38</v>
      </c>
      <c r="I36" t="s">
        <v>30</v>
      </c>
      <c r="J36" t="s">
        <v>31</v>
      </c>
      <c r="K36" s="14" t="str">
        <f t="shared" si="0"/>
        <v>Kano → Kwara</v>
      </c>
      <c r="L36" t="s">
        <v>32</v>
      </c>
      <c r="M36">
        <v>142</v>
      </c>
      <c r="N36">
        <v>140</v>
      </c>
      <c r="O36">
        <v>2</v>
      </c>
      <c r="P36">
        <v>481</v>
      </c>
      <c r="Q36" s="14" t="str">
        <f t="shared" si="1"/>
        <v>251–500 km</v>
      </c>
      <c r="R36" s="14" t="str">
        <f>IF(Table2[[#This Row],[Distance Bands]]="0–100 km","Short",
IF(Table2[[#This Row],[Distance Bands]]="101–250 km","Medium",
IF(Table2[[#This Row],[Distance Bands]]="251–500 km","Long",
IF(Table2[[#This Row],[Distance Bands]]="501–1,000 km","Very Long",
"Extreme"))))</f>
        <v>Long</v>
      </c>
      <c r="S36" s="13">
        <f>Table2[[#This Row],[Freight_Cost_NGN]]/Table2[[#This Row],[Distance_km]]</f>
        <v>2545.3950103950106</v>
      </c>
      <c r="T36">
        <v>5</v>
      </c>
      <c r="U36">
        <v>5</v>
      </c>
      <c r="V36" s="14">
        <f>Table2[[#This Row],[Actual_Transit_Days]]-Table2[[#This Row],[Planned_Transit_Days]]</f>
        <v>0</v>
      </c>
      <c r="W36">
        <v>1224335</v>
      </c>
      <c r="X36">
        <v>1267413</v>
      </c>
      <c r="Y36" t="s">
        <v>42</v>
      </c>
      <c r="Z36" s="14">
        <f>IF(Table2[[#This Row],[Delivery_Date]]&lt;=Table2[[#This Row],[Planned_Date]],1,0)</f>
        <v>0</v>
      </c>
      <c r="AA36" s="18">
        <f>Table2[[#This Row],[Units_Damaged]]/Table2[[#This Row],[Units_Shipped]]</f>
        <v>1.4084507042253521E-2</v>
      </c>
      <c r="AB36">
        <f t="shared" si="2"/>
        <v>-43078</v>
      </c>
      <c r="AC36" s="17">
        <f t="shared" si="3"/>
        <v>-3.3988920738543787E-2</v>
      </c>
    </row>
    <row r="37" spans="1:29" x14ac:dyDescent="0.25">
      <c r="A37" t="s">
        <v>109</v>
      </c>
      <c r="B37" s="1">
        <v>46153</v>
      </c>
      <c r="C37" s="1">
        <v>46187</v>
      </c>
      <c r="D37" t="s">
        <v>57</v>
      </c>
      <c r="E37" t="s">
        <v>36</v>
      </c>
      <c r="F37" t="s">
        <v>46</v>
      </c>
      <c r="G37" t="s">
        <v>29</v>
      </c>
      <c r="H37" t="s">
        <v>29</v>
      </c>
      <c r="I37" t="s">
        <v>38</v>
      </c>
      <c r="J37" t="s">
        <v>38</v>
      </c>
      <c r="K37" s="14" t="str">
        <f t="shared" si="0"/>
        <v>Kaduna → Kano</v>
      </c>
      <c r="L37" t="s">
        <v>41</v>
      </c>
      <c r="M37">
        <v>117</v>
      </c>
      <c r="N37">
        <v>113</v>
      </c>
      <c r="O37">
        <v>4</v>
      </c>
      <c r="P37">
        <v>719</v>
      </c>
      <c r="Q37" s="14" t="str">
        <f t="shared" si="1"/>
        <v>501–1,000 km</v>
      </c>
      <c r="R37" s="14" t="str">
        <f>IF(Table2[[#This Row],[Distance Bands]]="0–100 km","Short",
IF(Table2[[#This Row],[Distance Bands]]="101–250 km","Medium",
IF(Table2[[#This Row],[Distance Bands]]="251–500 km","Long",
IF(Table2[[#This Row],[Distance Bands]]="501–1,000 km","Very Long",
"Extreme"))))</f>
        <v>Very Long</v>
      </c>
      <c r="S37" s="13">
        <f>Table2[[#This Row],[Freight_Cost_NGN]]/Table2[[#This Row],[Distance_km]]</f>
        <v>2078.6926286509042</v>
      </c>
      <c r="T37">
        <v>6</v>
      </c>
      <c r="U37">
        <v>10</v>
      </c>
      <c r="V37" s="14">
        <f>Table2[[#This Row],[Actual_Transit_Days]]-Table2[[#This Row],[Planned_Transit_Days]]</f>
        <v>4</v>
      </c>
      <c r="W37">
        <v>1494580</v>
      </c>
      <c r="X37">
        <v>1600558</v>
      </c>
      <c r="Y37" t="s">
        <v>75</v>
      </c>
      <c r="Z37" s="14">
        <f>IF(Table2[[#This Row],[Delivery_Date]]&lt;=Table2[[#This Row],[Planned_Date]],1,0)</f>
        <v>0</v>
      </c>
      <c r="AA37" s="18">
        <f>Table2[[#This Row],[Units_Damaged]]/Table2[[#This Row],[Units_Shipped]]</f>
        <v>3.4188034188034191E-2</v>
      </c>
      <c r="AB37">
        <f t="shared" si="2"/>
        <v>-105978</v>
      </c>
      <c r="AC37" s="17">
        <f t="shared" si="3"/>
        <v>-6.6213158161091315E-2</v>
      </c>
    </row>
    <row r="38" spans="1:29" x14ac:dyDescent="0.25">
      <c r="A38" t="s">
        <v>110</v>
      </c>
      <c r="B38" s="1">
        <v>46154</v>
      </c>
      <c r="C38" s="1">
        <v>46221</v>
      </c>
      <c r="D38" t="s">
        <v>62</v>
      </c>
      <c r="E38" t="s">
        <v>27</v>
      </c>
      <c r="F38" t="s">
        <v>37</v>
      </c>
      <c r="G38" t="s">
        <v>30</v>
      </c>
      <c r="H38" t="s">
        <v>31</v>
      </c>
      <c r="I38" t="s">
        <v>39</v>
      </c>
      <c r="J38" t="s">
        <v>40</v>
      </c>
      <c r="K38" s="14" t="str">
        <f t="shared" si="0"/>
        <v>Kwara → Anambra</v>
      </c>
      <c r="L38" t="s">
        <v>41</v>
      </c>
      <c r="M38">
        <v>32</v>
      </c>
      <c r="N38">
        <v>31</v>
      </c>
      <c r="O38">
        <v>1</v>
      </c>
      <c r="P38">
        <v>742</v>
      </c>
      <c r="Q38" s="14" t="str">
        <f t="shared" si="1"/>
        <v>501–1,000 km</v>
      </c>
      <c r="R38" s="14" t="str">
        <f>IF(Table2[[#This Row],[Distance Bands]]="0–100 km","Short",
IF(Table2[[#This Row],[Distance Bands]]="101–250 km","Medium",
IF(Table2[[#This Row],[Distance Bands]]="251–500 km","Long",
IF(Table2[[#This Row],[Distance Bands]]="501–1,000 km","Very Long",
"Extreme"))))</f>
        <v>Very Long</v>
      </c>
      <c r="S38" s="13">
        <f>Table2[[#This Row],[Freight_Cost_NGN]]/Table2[[#This Row],[Distance_km]]</f>
        <v>847.04851752021568</v>
      </c>
      <c r="T38">
        <v>6</v>
      </c>
      <c r="U38">
        <v>6</v>
      </c>
      <c r="V38" s="14">
        <f>Table2[[#This Row],[Actual_Transit_Days]]-Table2[[#This Row],[Planned_Transit_Days]]</f>
        <v>0</v>
      </c>
      <c r="W38">
        <v>628510</v>
      </c>
      <c r="X38">
        <v>638883</v>
      </c>
      <c r="Y38" t="s">
        <v>42</v>
      </c>
      <c r="Z38" s="14">
        <f>IF(Table2[[#This Row],[Delivery_Date]]&lt;=Table2[[#This Row],[Planned_Date]],1,0)</f>
        <v>0</v>
      </c>
      <c r="AA38" s="18">
        <f>Table2[[#This Row],[Units_Damaged]]/Table2[[#This Row],[Units_Shipped]]</f>
        <v>3.125E-2</v>
      </c>
      <c r="AB38">
        <f t="shared" si="2"/>
        <v>-10373</v>
      </c>
      <c r="AC38" s="17">
        <f t="shared" si="3"/>
        <v>-1.6236149654944645E-2</v>
      </c>
    </row>
    <row r="39" spans="1:29" x14ac:dyDescent="0.25">
      <c r="A39" t="s">
        <v>111</v>
      </c>
      <c r="B39" s="1">
        <v>46155</v>
      </c>
      <c r="C39" s="1">
        <v>46212</v>
      </c>
      <c r="D39" t="s">
        <v>35</v>
      </c>
      <c r="E39" t="s">
        <v>67</v>
      </c>
      <c r="F39" t="s">
        <v>28</v>
      </c>
      <c r="G39" t="s">
        <v>39</v>
      </c>
      <c r="H39" t="s">
        <v>40</v>
      </c>
      <c r="I39" t="s">
        <v>64</v>
      </c>
      <c r="J39" t="s">
        <v>65</v>
      </c>
      <c r="K39" s="14" t="str">
        <f t="shared" si="0"/>
        <v>Anambra → Plateau</v>
      </c>
      <c r="L39" t="s">
        <v>60</v>
      </c>
      <c r="M39">
        <v>155</v>
      </c>
      <c r="N39">
        <v>148</v>
      </c>
      <c r="O39">
        <v>7</v>
      </c>
      <c r="P39">
        <v>168</v>
      </c>
      <c r="Q39" s="14" t="str">
        <f t="shared" si="1"/>
        <v>101–250 km</v>
      </c>
      <c r="R39" s="14" t="str">
        <f>IF(Table2[[#This Row],[Distance Bands]]="0–100 km","Short",
IF(Table2[[#This Row],[Distance Bands]]="101–250 km","Medium",
IF(Table2[[#This Row],[Distance Bands]]="251–500 km","Long",
IF(Table2[[#This Row],[Distance Bands]]="501–1,000 km","Very Long",
"Extreme"))))</f>
        <v>Medium</v>
      </c>
      <c r="S39" s="13">
        <f>Table2[[#This Row],[Freight_Cost_NGN]]/Table2[[#This Row],[Distance_km]]</f>
        <v>5389.6071428571431</v>
      </c>
      <c r="T39">
        <v>4</v>
      </c>
      <c r="U39">
        <v>6</v>
      </c>
      <c r="V39" s="14">
        <f>Table2[[#This Row],[Actual_Transit_Days]]-Table2[[#This Row],[Planned_Transit_Days]]</f>
        <v>2</v>
      </c>
      <c r="W39">
        <v>905454</v>
      </c>
      <c r="X39">
        <v>1001600</v>
      </c>
      <c r="Y39" t="s">
        <v>33</v>
      </c>
      <c r="Z39" s="14">
        <f>IF(Table2[[#This Row],[Delivery_Date]]&lt;=Table2[[#This Row],[Planned_Date]],1,0)</f>
        <v>0</v>
      </c>
      <c r="AA39" s="18">
        <f>Table2[[#This Row],[Units_Damaged]]/Table2[[#This Row],[Units_Shipped]]</f>
        <v>4.5161290322580643E-2</v>
      </c>
      <c r="AB39">
        <f t="shared" si="2"/>
        <v>-96146</v>
      </c>
      <c r="AC39" s="17">
        <f t="shared" si="3"/>
        <v>-9.5992412140575079E-2</v>
      </c>
    </row>
    <row r="40" spans="1:29" x14ac:dyDescent="0.25">
      <c r="A40" t="s">
        <v>112</v>
      </c>
      <c r="B40" s="1">
        <v>46156</v>
      </c>
      <c r="C40" s="1">
        <v>46260</v>
      </c>
      <c r="D40" t="s">
        <v>57</v>
      </c>
      <c r="E40" t="s">
        <v>85</v>
      </c>
      <c r="F40" t="s">
        <v>63</v>
      </c>
      <c r="G40" t="s">
        <v>39</v>
      </c>
      <c r="H40" t="s">
        <v>40</v>
      </c>
      <c r="I40" t="s">
        <v>72</v>
      </c>
      <c r="J40" t="s">
        <v>72</v>
      </c>
      <c r="K40" s="14" t="str">
        <f t="shared" si="0"/>
        <v>Anambra → Lagos</v>
      </c>
      <c r="L40" t="s">
        <v>41</v>
      </c>
      <c r="M40">
        <v>141</v>
      </c>
      <c r="N40">
        <v>138</v>
      </c>
      <c r="O40">
        <v>3</v>
      </c>
      <c r="P40">
        <v>819</v>
      </c>
      <c r="Q40" s="14" t="str">
        <f t="shared" si="1"/>
        <v>501–1,000 km</v>
      </c>
      <c r="R40" s="14" t="str">
        <f>IF(Table2[[#This Row],[Distance Bands]]="0–100 km","Short",
IF(Table2[[#This Row],[Distance Bands]]="101–250 km","Medium",
IF(Table2[[#This Row],[Distance Bands]]="251–500 km","Long",
IF(Table2[[#This Row],[Distance Bands]]="501–1,000 km","Very Long",
"Extreme"))))</f>
        <v>Very Long</v>
      </c>
      <c r="S40" s="13">
        <f>Table2[[#This Row],[Freight_Cost_NGN]]/Table2[[#This Row],[Distance_km]]</f>
        <v>1579.2893772893774</v>
      </c>
      <c r="T40">
        <v>2</v>
      </c>
      <c r="U40">
        <v>4</v>
      </c>
      <c r="V40" s="14">
        <f>Table2[[#This Row],[Actual_Transit_Days]]-Table2[[#This Row],[Planned_Transit_Days]]</f>
        <v>2</v>
      </c>
      <c r="W40">
        <v>1293438</v>
      </c>
      <c r="X40">
        <v>1211006</v>
      </c>
      <c r="Y40" t="s">
        <v>33</v>
      </c>
      <c r="Z40" s="14">
        <f>IF(Table2[[#This Row],[Delivery_Date]]&lt;=Table2[[#This Row],[Planned_Date]],1,0)</f>
        <v>0</v>
      </c>
      <c r="AA40" s="18">
        <f>Table2[[#This Row],[Units_Damaged]]/Table2[[#This Row],[Units_Shipped]]</f>
        <v>2.1276595744680851E-2</v>
      </c>
      <c r="AB40">
        <f t="shared" si="2"/>
        <v>82432</v>
      </c>
      <c r="AC40" s="17">
        <f t="shared" si="3"/>
        <v>6.8069026908206889E-2</v>
      </c>
    </row>
    <row r="41" spans="1:29" x14ac:dyDescent="0.25">
      <c r="A41" t="s">
        <v>113</v>
      </c>
      <c r="B41" s="1">
        <v>46157</v>
      </c>
      <c r="C41" s="1">
        <v>46188</v>
      </c>
      <c r="D41" t="s">
        <v>44</v>
      </c>
      <c r="E41" t="s">
        <v>36</v>
      </c>
      <c r="F41" t="s">
        <v>37</v>
      </c>
      <c r="G41" t="s">
        <v>72</v>
      </c>
      <c r="H41" t="s">
        <v>72</v>
      </c>
      <c r="I41" t="s">
        <v>91</v>
      </c>
      <c r="J41" t="s">
        <v>92</v>
      </c>
      <c r="K41" s="14" t="str">
        <f t="shared" si="0"/>
        <v>Lagos → Delta</v>
      </c>
      <c r="L41" t="s">
        <v>41</v>
      </c>
      <c r="M41">
        <v>136</v>
      </c>
      <c r="N41">
        <v>133</v>
      </c>
      <c r="O41">
        <v>3</v>
      </c>
      <c r="P41">
        <v>828</v>
      </c>
      <c r="Q41" s="14" t="str">
        <f t="shared" si="1"/>
        <v>501–1,000 km</v>
      </c>
      <c r="R41" s="14" t="str">
        <f>IF(Table2[[#This Row],[Distance Bands]]="0–100 km","Short",
IF(Table2[[#This Row],[Distance Bands]]="101–250 km","Medium",
IF(Table2[[#This Row],[Distance Bands]]="251–500 km","Long",
IF(Table2[[#This Row],[Distance Bands]]="501–1,000 km","Very Long",
"Extreme"))))</f>
        <v>Very Long</v>
      </c>
      <c r="S41" s="13">
        <f>Table2[[#This Row],[Freight_Cost_NGN]]/Table2[[#This Row],[Distance_km]]</f>
        <v>1656.0434782608695</v>
      </c>
      <c r="T41">
        <v>7</v>
      </c>
      <c r="U41">
        <v>17</v>
      </c>
      <c r="V41" s="14">
        <f>Table2[[#This Row],[Actual_Transit_Days]]-Table2[[#This Row],[Planned_Transit_Days]]</f>
        <v>10</v>
      </c>
      <c r="W41">
        <v>1371204</v>
      </c>
      <c r="X41">
        <v>1284406</v>
      </c>
      <c r="Y41" t="s">
        <v>75</v>
      </c>
      <c r="Z41" s="14">
        <f>IF(Table2[[#This Row],[Delivery_Date]]&lt;=Table2[[#This Row],[Planned_Date]],1,0)</f>
        <v>0</v>
      </c>
      <c r="AA41" s="18">
        <f>Table2[[#This Row],[Units_Damaged]]/Table2[[#This Row],[Units_Shipped]]</f>
        <v>2.2058823529411766E-2</v>
      </c>
      <c r="AB41">
        <f t="shared" si="2"/>
        <v>86798</v>
      </c>
      <c r="AC41" s="17">
        <f t="shared" si="3"/>
        <v>6.7578320250761825E-2</v>
      </c>
    </row>
    <row r="42" spans="1:29" x14ac:dyDescent="0.25">
      <c r="A42" t="s">
        <v>114</v>
      </c>
      <c r="B42" s="1">
        <v>46158</v>
      </c>
      <c r="C42" s="1">
        <v>46252</v>
      </c>
      <c r="D42" t="s">
        <v>77</v>
      </c>
      <c r="E42" t="s">
        <v>52</v>
      </c>
      <c r="F42" t="s">
        <v>46</v>
      </c>
      <c r="G42" t="s">
        <v>68</v>
      </c>
      <c r="H42" t="s">
        <v>69</v>
      </c>
      <c r="I42" t="s">
        <v>58</v>
      </c>
      <c r="J42" t="s">
        <v>59</v>
      </c>
      <c r="K42" s="14" t="str">
        <f t="shared" si="0"/>
        <v>Abia → Ogun</v>
      </c>
      <c r="L42" t="s">
        <v>60</v>
      </c>
      <c r="M42">
        <v>65</v>
      </c>
      <c r="N42">
        <v>62</v>
      </c>
      <c r="O42">
        <v>3</v>
      </c>
      <c r="P42">
        <v>385</v>
      </c>
      <c r="Q42" s="14" t="str">
        <f t="shared" si="1"/>
        <v>251–500 km</v>
      </c>
      <c r="R42" s="14" t="str">
        <f>IF(Table2[[#This Row],[Distance Bands]]="0–100 km","Short",
IF(Table2[[#This Row],[Distance Bands]]="101–250 km","Medium",
IF(Table2[[#This Row],[Distance Bands]]="251–500 km","Long",
IF(Table2[[#This Row],[Distance Bands]]="501–1,000 km","Very Long",
"Extreme"))))</f>
        <v>Long</v>
      </c>
      <c r="S42" s="13">
        <f>Table2[[#This Row],[Freight_Cost_NGN]]/Table2[[#This Row],[Distance_km]]</f>
        <v>1814.3896103896104</v>
      </c>
      <c r="T42">
        <v>4</v>
      </c>
      <c r="U42">
        <v>6</v>
      </c>
      <c r="V42" s="14">
        <f>Table2[[#This Row],[Actual_Transit_Days]]-Table2[[#This Row],[Planned_Transit_Days]]</f>
        <v>2</v>
      </c>
      <c r="W42">
        <v>698540</v>
      </c>
      <c r="X42">
        <v>724158</v>
      </c>
      <c r="Y42" t="s">
        <v>33</v>
      </c>
      <c r="Z42" s="14">
        <f>IF(Table2[[#This Row],[Delivery_Date]]&lt;=Table2[[#This Row],[Planned_Date]],1,0)</f>
        <v>0</v>
      </c>
      <c r="AA42" s="18">
        <f>Table2[[#This Row],[Units_Damaged]]/Table2[[#This Row],[Units_Shipped]]</f>
        <v>4.6153846153846156E-2</v>
      </c>
      <c r="AB42">
        <f t="shared" si="2"/>
        <v>-25618</v>
      </c>
      <c r="AC42" s="17">
        <f t="shared" si="3"/>
        <v>-3.5376257667525599E-2</v>
      </c>
    </row>
    <row r="43" spans="1:29" x14ac:dyDescent="0.25">
      <c r="A43" t="s">
        <v>115</v>
      </c>
      <c r="B43" s="1">
        <v>46159</v>
      </c>
      <c r="C43" s="1">
        <v>46198</v>
      </c>
      <c r="D43" t="s">
        <v>35</v>
      </c>
      <c r="E43" t="s">
        <v>67</v>
      </c>
      <c r="F43" t="s">
        <v>46</v>
      </c>
      <c r="G43" t="s">
        <v>38</v>
      </c>
      <c r="H43" t="s">
        <v>38</v>
      </c>
      <c r="I43" t="s">
        <v>72</v>
      </c>
      <c r="J43" t="s">
        <v>72</v>
      </c>
      <c r="K43" s="14" t="str">
        <f t="shared" si="0"/>
        <v>Kano → Lagos</v>
      </c>
      <c r="L43" t="s">
        <v>32</v>
      </c>
      <c r="M43">
        <v>65</v>
      </c>
      <c r="N43">
        <v>64</v>
      </c>
      <c r="O43">
        <v>1</v>
      </c>
      <c r="P43">
        <v>839</v>
      </c>
      <c r="Q43" s="14" t="str">
        <f t="shared" si="1"/>
        <v>501–1,000 km</v>
      </c>
      <c r="R43" s="14" t="str">
        <f>IF(Table2[[#This Row],[Distance Bands]]="0–100 km","Short",
IF(Table2[[#This Row],[Distance Bands]]="101–250 km","Medium",
IF(Table2[[#This Row],[Distance Bands]]="251–500 km","Long",
IF(Table2[[#This Row],[Distance Bands]]="501–1,000 km","Very Long",
"Extreme"))))</f>
        <v>Very Long</v>
      </c>
      <c r="S43" s="13">
        <f>Table2[[#This Row],[Freight_Cost_NGN]]/Table2[[#This Row],[Distance_km]]</f>
        <v>1195.0798569725864</v>
      </c>
      <c r="T43">
        <v>3</v>
      </c>
      <c r="U43">
        <v>6</v>
      </c>
      <c r="V43" s="14">
        <f>Table2[[#This Row],[Actual_Transit_Days]]-Table2[[#This Row],[Planned_Transit_Days]]</f>
        <v>3</v>
      </c>
      <c r="W43">
        <v>1002672</v>
      </c>
      <c r="X43">
        <v>1107881</v>
      </c>
      <c r="Y43" t="s">
        <v>33</v>
      </c>
      <c r="Z43" s="14">
        <f>IF(Table2[[#This Row],[Delivery_Date]]&lt;=Table2[[#This Row],[Planned_Date]],1,0)</f>
        <v>0</v>
      </c>
      <c r="AA43" s="18">
        <f>Table2[[#This Row],[Units_Damaged]]/Table2[[#This Row],[Units_Shipped]]</f>
        <v>1.5384615384615385E-2</v>
      </c>
      <c r="AB43">
        <f t="shared" si="2"/>
        <v>-105209</v>
      </c>
      <c r="AC43" s="17">
        <f t="shared" si="3"/>
        <v>-9.4964170339594228E-2</v>
      </c>
    </row>
    <row r="44" spans="1:29" x14ac:dyDescent="0.25">
      <c r="A44" t="s">
        <v>116</v>
      </c>
      <c r="B44" s="1">
        <v>46160</v>
      </c>
      <c r="C44" s="1">
        <v>46173</v>
      </c>
      <c r="D44" t="s">
        <v>26</v>
      </c>
      <c r="E44" t="s">
        <v>45</v>
      </c>
      <c r="F44" t="s">
        <v>53</v>
      </c>
      <c r="G44" t="s">
        <v>72</v>
      </c>
      <c r="H44" t="s">
        <v>72</v>
      </c>
      <c r="I44" t="s">
        <v>54</v>
      </c>
      <c r="J44" t="s">
        <v>55</v>
      </c>
      <c r="K44" s="14" t="str">
        <f t="shared" si="0"/>
        <v>Lagos → Rivers</v>
      </c>
      <c r="L44" t="s">
        <v>60</v>
      </c>
      <c r="M44">
        <v>122</v>
      </c>
      <c r="N44">
        <v>119</v>
      </c>
      <c r="O44">
        <v>3</v>
      </c>
      <c r="P44">
        <v>283</v>
      </c>
      <c r="Q44" s="14" t="str">
        <f t="shared" si="1"/>
        <v>251–500 km</v>
      </c>
      <c r="R44" s="14" t="str">
        <f>IF(Table2[[#This Row],[Distance Bands]]="0–100 km","Short",
IF(Table2[[#This Row],[Distance Bands]]="101–250 km","Medium",
IF(Table2[[#This Row],[Distance Bands]]="251–500 km","Long",
IF(Table2[[#This Row],[Distance Bands]]="501–1,000 km","Very Long",
"Extreme"))))</f>
        <v>Long</v>
      </c>
      <c r="S44" s="13">
        <f>Table2[[#This Row],[Freight_Cost_NGN]]/Table2[[#This Row],[Distance_km]]</f>
        <v>3695.1802120141342</v>
      </c>
      <c r="T44">
        <v>3</v>
      </c>
      <c r="U44">
        <v>4</v>
      </c>
      <c r="V44" s="14">
        <f>Table2[[#This Row],[Actual_Transit_Days]]-Table2[[#This Row],[Planned_Transit_Days]]</f>
        <v>1</v>
      </c>
      <c r="W44">
        <v>1045736</v>
      </c>
      <c r="X44">
        <v>1153500</v>
      </c>
      <c r="Y44" t="s">
        <v>33</v>
      </c>
      <c r="Z44" s="14">
        <f>IF(Table2[[#This Row],[Delivery_Date]]&lt;=Table2[[#This Row],[Planned_Date]],1,0)</f>
        <v>0</v>
      </c>
      <c r="AA44" s="18">
        <f>Table2[[#This Row],[Units_Damaged]]/Table2[[#This Row],[Units_Shipped]]</f>
        <v>2.4590163934426229E-2</v>
      </c>
      <c r="AB44">
        <f t="shared" si="2"/>
        <v>-107764</v>
      </c>
      <c r="AC44" s="17">
        <f t="shared" si="3"/>
        <v>-9.3423493714781106E-2</v>
      </c>
    </row>
    <row r="45" spans="1:29" x14ac:dyDescent="0.25">
      <c r="A45" t="s">
        <v>117</v>
      </c>
      <c r="B45" s="1">
        <v>46161</v>
      </c>
      <c r="C45" s="1">
        <v>46150</v>
      </c>
      <c r="D45" t="s">
        <v>35</v>
      </c>
      <c r="E45" t="s">
        <v>52</v>
      </c>
      <c r="F45" t="s">
        <v>63</v>
      </c>
      <c r="G45" t="s">
        <v>88</v>
      </c>
      <c r="H45" t="s">
        <v>89</v>
      </c>
      <c r="I45" t="s">
        <v>38</v>
      </c>
      <c r="J45" t="s">
        <v>38</v>
      </c>
      <c r="K45" s="14" t="str">
        <f t="shared" si="0"/>
        <v>Edo → Kano</v>
      </c>
      <c r="L45" t="s">
        <v>41</v>
      </c>
      <c r="M45">
        <v>64</v>
      </c>
      <c r="N45">
        <v>63</v>
      </c>
      <c r="O45">
        <v>1</v>
      </c>
      <c r="P45">
        <v>202</v>
      </c>
      <c r="Q45" s="14" t="str">
        <f t="shared" si="1"/>
        <v>101–250 km</v>
      </c>
      <c r="R45" s="14" t="str">
        <f>IF(Table2[[#This Row],[Distance Bands]]="0–100 km","Short",
IF(Table2[[#This Row],[Distance Bands]]="101–250 km","Medium",
IF(Table2[[#This Row],[Distance Bands]]="251–500 km","Long",
IF(Table2[[#This Row],[Distance Bands]]="501–1,000 km","Very Long",
"Extreme"))))</f>
        <v>Medium</v>
      </c>
      <c r="S45" s="13">
        <f>Table2[[#This Row],[Freight_Cost_NGN]]/Table2[[#This Row],[Distance_km]]</f>
        <v>1965.5148514851485</v>
      </c>
      <c r="T45">
        <v>2</v>
      </c>
      <c r="U45">
        <v>2</v>
      </c>
      <c r="V45" s="14">
        <f>Table2[[#This Row],[Actual_Transit_Days]]-Table2[[#This Row],[Planned_Transit_Days]]</f>
        <v>0</v>
      </c>
      <c r="W45">
        <v>397034</v>
      </c>
      <c r="X45">
        <v>393885</v>
      </c>
      <c r="Y45" t="s">
        <v>42</v>
      </c>
      <c r="Z45" s="14">
        <f>IF(Table2[[#This Row],[Delivery_Date]]&lt;=Table2[[#This Row],[Planned_Date]],1,0)</f>
        <v>1</v>
      </c>
      <c r="AA45" s="18">
        <f>Table2[[#This Row],[Units_Damaged]]/Table2[[#This Row],[Units_Shipped]]</f>
        <v>1.5625E-2</v>
      </c>
      <c r="AB45">
        <f t="shared" si="2"/>
        <v>3149</v>
      </c>
      <c r="AC45" s="17">
        <f t="shared" si="3"/>
        <v>7.9947192708531671E-3</v>
      </c>
    </row>
    <row r="46" spans="1:29" x14ac:dyDescent="0.25">
      <c r="A46" t="s">
        <v>118</v>
      </c>
      <c r="B46" s="1">
        <v>46162</v>
      </c>
      <c r="C46" s="1">
        <v>46249</v>
      </c>
      <c r="D46" t="s">
        <v>44</v>
      </c>
      <c r="E46" t="s">
        <v>67</v>
      </c>
      <c r="F46" t="s">
        <v>28</v>
      </c>
      <c r="G46" t="s">
        <v>30</v>
      </c>
      <c r="H46" t="s">
        <v>31</v>
      </c>
      <c r="I46" t="s">
        <v>68</v>
      </c>
      <c r="J46" t="s">
        <v>69</v>
      </c>
      <c r="K46" s="14" t="str">
        <f t="shared" si="0"/>
        <v>Kwara → Abia</v>
      </c>
      <c r="L46" t="s">
        <v>41</v>
      </c>
      <c r="M46">
        <v>39</v>
      </c>
      <c r="N46">
        <v>39</v>
      </c>
      <c r="O46">
        <v>0</v>
      </c>
      <c r="P46">
        <v>277</v>
      </c>
      <c r="Q46" s="14" t="str">
        <f t="shared" si="1"/>
        <v>251–500 km</v>
      </c>
      <c r="R46" s="14" t="str">
        <f>IF(Table2[[#This Row],[Distance Bands]]="0–100 km","Short",
IF(Table2[[#This Row],[Distance Bands]]="101–250 km","Medium",
IF(Table2[[#This Row],[Distance Bands]]="251–500 km","Long",
IF(Table2[[#This Row],[Distance Bands]]="501–1,000 km","Very Long",
"Extreme"))))</f>
        <v>Long</v>
      </c>
      <c r="S46" s="13">
        <f>Table2[[#This Row],[Freight_Cost_NGN]]/Table2[[#This Row],[Distance_km]]</f>
        <v>1957.9314079422384</v>
      </c>
      <c r="T46">
        <v>3</v>
      </c>
      <c r="U46">
        <v>3</v>
      </c>
      <c r="V46" s="14">
        <f>Table2[[#This Row],[Actual_Transit_Days]]-Table2[[#This Row],[Planned_Transit_Days]]</f>
        <v>0</v>
      </c>
      <c r="W46">
        <v>542347</v>
      </c>
      <c r="X46">
        <v>577677</v>
      </c>
      <c r="Y46" t="s">
        <v>42</v>
      </c>
      <c r="Z46" s="14">
        <f>IF(Table2[[#This Row],[Delivery_Date]]&lt;=Table2[[#This Row],[Planned_Date]],1,0)</f>
        <v>0</v>
      </c>
      <c r="AA46" s="18">
        <f>Table2[[#This Row],[Units_Damaged]]/Table2[[#This Row],[Units_Shipped]]</f>
        <v>0</v>
      </c>
      <c r="AB46">
        <f t="shared" si="2"/>
        <v>-35330</v>
      </c>
      <c r="AC46" s="17">
        <f t="shared" si="3"/>
        <v>-6.1158744419459316E-2</v>
      </c>
    </row>
    <row r="47" spans="1:29" x14ac:dyDescent="0.25">
      <c r="A47" t="s">
        <v>119</v>
      </c>
      <c r="B47" s="1">
        <v>46163</v>
      </c>
      <c r="C47" s="1">
        <v>46032</v>
      </c>
      <c r="D47" t="s">
        <v>57</v>
      </c>
      <c r="E47" t="s">
        <v>52</v>
      </c>
      <c r="F47" t="s">
        <v>63</v>
      </c>
      <c r="G47" t="s">
        <v>80</v>
      </c>
      <c r="H47" t="s">
        <v>80</v>
      </c>
      <c r="I47" t="s">
        <v>68</v>
      </c>
      <c r="J47" t="s">
        <v>69</v>
      </c>
      <c r="K47" s="14" t="str">
        <f t="shared" si="0"/>
        <v>Enugu → Abia</v>
      </c>
      <c r="L47" t="s">
        <v>60</v>
      </c>
      <c r="M47">
        <v>69</v>
      </c>
      <c r="N47">
        <v>69</v>
      </c>
      <c r="O47">
        <v>0</v>
      </c>
      <c r="P47">
        <v>170</v>
      </c>
      <c r="Q47" s="14" t="str">
        <f t="shared" si="1"/>
        <v>101–250 km</v>
      </c>
      <c r="R47" s="14" t="str">
        <f>IF(Table2[[#This Row],[Distance Bands]]="0–100 km","Short",
IF(Table2[[#This Row],[Distance Bands]]="101–250 km","Medium",
IF(Table2[[#This Row],[Distance Bands]]="251–500 km","Long",
IF(Table2[[#This Row],[Distance Bands]]="501–1,000 km","Very Long",
"Extreme"))))</f>
        <v>Medium</v>
      </c>
      <c r="S47" s="13">
        <f>Table2[[#This Row],[Freight_Cost_NGN]]/Table2[[#This Row],[Distance_km]]</f>
        <v>5629.9705882352937</v>
      </c>
      <c r="T47">
        <v>1</v>
      </c>
      <c r="U47">
        <v>1</v>
      </c>
      <c r="V47" s="14">
        <f>Table2[[#This Row],[Actual_Transit_Days]]-Table2[[#This Row],[Planned_Transit_Days]]</f>
        <v>0</v>
      </c>
      <c r="W47">
        <v>957095</v>
      </c>
      <c r="X47">
        <v>909320</v>
      </c>
      <c r="Y47" t="s">
        <v>42</v>
      </c>
      <c r="Z47" s="14">
        <f>IF(Table2[[#This Row],[Delivery_Date]]&lt;=Table2[[#This Row],[Planned_Date]],1,0)</f>
        <v>1</v>
      </c>
      <c r="AA47" s="18">
        <f>Table2[[#This Row],[Units_Damaged]]/Table2[[#This Row],[Units_Shipped]]</f>
        <v>0</v>
      </c>
      <c r="AB47">
        <f t="shared" si="2"/>
        <v>47775</v>
      </c>
      <c r="AC47" s="17">
        <f t="shared" si="3"/>
        <v>5.2539260106453177E-2</v>
      </c>
    </row>
    <row r="48" spans="1:29" x14ac:dyDescent="0.25">
      <c r="A48" t="s">
        <v>120</v>
      </c>
      <c r="B48" s="1">
        <v>46164</v>
      </c>
      <c r="C48" s="1">
        <v>46134</v>
      </c>
      <c r="D48" t="s">
        <v>62</v>
      </c>
      <c r="E48" t="s">
        <v>57</v>
      </c>
      <c r="F48" t="s">
        <v>63</v>
      </c>
      <c r="G48" t="s">
        <v>72</v>
      </c>
      <c r="H48" t="s">
        <v>72</v>
      </c>
      <c r="I48" t="s">
        <v>58</v>
      </c>
      <c r="J48" t="s">
        <v>59</v>
      </c>
      <c r="K48" s="14" t="str">
        <f t="shared" si="0"/>
        <v>Lagos → Ogun</v>
      </c>
      <c r="L48" t="s">
        <v>60</v>
      </c>
      <c r="M48">
        <v>59</v>
      </c>
      <c r="N48">
        <v>57</v>
      </c>
      <c r="O48">
        <v>2</v>
      </c>
      <c r="P48">
        <v>542</v>
      </c>
      <c r="Q48" s="14" t="str">
        <f t="shared" si="1"/>
        <v>501–1,000 km</v>
      </c>
      <c r="R48" s="14" t="str">
        <f>IF(Table2[[#This Row],[Distance Bands]]="0–100 km","Short",
IF(Table2[[#This Row],[Distance Bands]]="101–250 km","Medium",
IF(Table2[[#This Row],[Distance Bands]]="251–500 km","Long",
IF(Table2[[#This Row],[Distance Bands]]="501–1,000 km","Very Long",
"Extreme"))))</f>
        <v>Very Long</v>
      </c>
      <c r="S48" s="13">
        <f>Table2[[#This Row],[Freight_Cost_NGN]]/Table2[[#This Row],[Distance_km]]</f>
        <v>1053.5645756457563</v>
      </c>
      <c r="T48">
        <v>3</v>
      </c>
      <c r="U48">
        <v>3</v>
      </c>
      <c r="V48" s="14">
        <f>Table2[[#This Row],[Actual_Transit_Days]]-Table2[[#This Row],[Planned_Transit_Days]]</f>
        <v>0</v>
      </c>
      <c r="W48">
        <v>571032</v>
      </c>
      <c r="X48">
        <v>639523</v>
      </c>
      <c r="Y48" t="s">
        <v>42</v>
      </c>
      <c r="Z48" s="14">
        <f>IF(Table2[[#This Row],[Delivery_Date]]&lt;=Table2[[#This Row],[Planned_Date]],1,0)</f>
        <v>1</v>
      </c>
      <c r="AA48" s="18">
        <f>Table2[[#This Row],[Units_Damaged]]/Table2[[#This Row],[Units_Shipped]]</f>
        <v>3.3898305084745763E-2</v>
      </c>
      <c r="AB48">
        <f t="shared" si="2"/>
        <v>-68491</v>
      </c>
      <c r="AC48" s="17">
        <f t="shared" si="3"/>
        <v>-0.1070970082389531</v>
      </c>
    </row>
    <row r="49" spans="1:29" x14ac:dyDescent="0.25">
      <c r="A49" t="s">
        <v>121</v>
      </c>
      <c r="B49" s="1">
        <v>46165</v>
      </c>
      <c r="C49" s="1">
        <v>46231</v>
      </c>
      <c r="D49" t="s">
        <v>44</v>
      </c>
      <c r="E49" t="s">
        <v>67</v>
      </c>
      <c r="F49" t="s">
        <v>28</v>
      </c>
      <c r="G49" t="s">
        <v>88</v>
      </c>
      <c r="H49" t="s">
        <v>89</v>
      </c>
      <c r="I49" t="s">
        <v>49</v>
      </c>
      <c r="J49" t="s">
        <v>50</v>
      </c>
      <c r="K49" s="14" t="str">
        <f t="shared" si="0"/>
        <v>Edo → Niger</v>
      </c>
      <c r="L49" t="s">
        <v>41</v>
      </c>
      <c r="M49">
        <v>114</v>
      </c>
      <c r="N49">
        <v>111</v>
      </c>
      <c r="O49">
        <v>3</v>
      </c>
      <c r="P49">
        <v>25</v>
      </c>
      <c r="Q49" s="14" t="str">
        <f t="shared" si="1"/>
        <v>0–100 km</v>
      </c>
      <c r="R49" s="14" t="str">
        <f>IF(Table2[[#This Row],[Distance Bands]]="0–100 km","Short",
IF(Table2[[#This Row],[Distance Bands]]="101–250 km","Medium",
IF(Table2[[#This Row],[Distance Bands]]="251–500 km","Long",
IF(Table2[[#This Row],[Distance Bands]]="501–1,000 km","Very Long",
"Extreme"))))</f>
        <v>Short</v>
      </c>
      <c r="S49" s="13">
        <f>Table2[[#This Row],[Freight_Cost_NGN]]/Table2[[#This Row],[Distance_km]]</f>
        <v>42670.8</v>
      </c>
      <c r="T49">
        <v>3</v>
      </c>
      <c r="U49">
        <v>3</v>
      </c>
      <c r="V49" s="14">
        <f>Table2[[#This Row],[Actual_Transit_Days]]-Table2[[#This Row],[Planned_Transit_Days]]</f>
        <v>0</v>
      </c>
      <c r="W49">
        <v>1066770</v>
      </c>
      <c r="X49">
        <v>1025641</v>
      </c>
      <c r="Y49" t="s">
        <v>42</v>
      </c>
      <c r="Z49" s="14">
        <f>IF(Table2[[#This Row],[Delivery_Date]]&lt;=Table2[[#This Row],[Planned_Date]],1,0)</f>
        <v>0</v>
      </c>
      <c r="AA49" s="18">
        <f>Table2[[#This Row],[Units_Damaged]]/Table2[[#This Row],[Units_Shipped]]</f>
        <v>2.6315789473684209E-2</v>
      </c>
      <c r="AB49">
        <f t="shared" si="2"/>
        <v>41129</v>
      </c>
      <c r="AC49" s="17">
        <f t="shared" si="3"/>
        <v>4.0100776002519399E-2</v>
      </c>
    </row>
    <row r="50" spans="1:29" x14ac:dyDescent="0.25">
      <c r="A50" t="s">
        <v>122</v>
      </c>
      <c r="B50" s="1">
        <v>46166</v>
      </c>
      <c r="C50" s="1">
        <v>46155</v>
      </c>
      <c r="D50" t="s">
        <v>62</v>
      </c>
      <c r="E50" t="s">
        <v>27</v>
      </c>
      <c r="F50" t="s">
        <v>28</v>
      </c>
      <c r="G50" t="s">
        <v>91</v>
      </c>
      <c r="H50" t="s">
        <v>92</v>
      </c>
      <c r="I50" t="s">
        <v>73</v>
      </c>
      <c r="J50" t="s">
        <v>74</v>
      </c>
      <c r="K50" s="14" t="str">
        <f t="shared" si="0"/>
        <v>Delta → Oyo</v>
      </c>
      <c r="L50" t="s">
        <v>41</v>
      </c>
      <c r="M50">
        <v>137</v>
      </c>
      <c r="N50">
        <v>134</v>
      </c>
      <c r="O50">
        <v>3</v>
      </c>
      <c r="P50">
        <v>758</v>
      </c>
      <c r="Q50" s="14" t="str">
        <f t="shared" si="1"/>
        <v>501–1,000 km</v>
      </c>
      <c r="R50" s="14" t="str">
        <f>IF(Table2[[#This Row],[Distance Bands]]="0–100 km","Short",
IF(Table2[[#This Row],[Distance Bands]]="101–250 km","Medium",
IF(Table2[[#This Row],[Distance Bands]]="251–500 km","Long",
IF(Table2[[#This Row],[Distance Bands]]="501–1,000 km","Very Long",
"Extreme"))))</f>
        <v>Very Long</v>
      </c>
      <c r="S50" s="13">
        <f>Table2[[#This Row],[Freight_Cost_NGN]]/Table2[[#This Row],[Distance_km]]</f>
        <v>2153.3535620052771</v>
      </c>
      <c r="T50">
        <v>3</v>
      </c>
      <c r="U50">
        <v>6</v>
      </c>
      <c r="V50" s="14">
        <f>Table2[[#This Row],[Actual_Transit_Days]]-Table2[[#This Row],[Planned_Transit_Days]]</f>
        <v>3</v>
      </c>
      <c r="W50">
        <v>1632242</v>
      </c>
      <c r="X50">
        <v>1694252</v>
      </c>
      <c r="Y50" t="s">
        <v>33</v>
      </c>
      <c r="Z50" s="14">
        <f>IF(Table2[[#This Row],[Delivery_Date]]&lt;=Table2[[#This Row],[Planned_Date]],1,0)</f>
        <v>1</v>
      </c>
      <c r="AA50" s="18">
        <f>Table2[[#This Row],[Units_Damaged]]/Table2[[#This Row],[Units_Shipped]]</f>
        <v>2.1897810218978103E-2</v>
      </c>
      <c r="AB50">
        <f t="shared" si="2"/>
        <v>-62010</v>
      </c>
      <c r="AC50" s="17">
        <f t="shared" si="3"/>
        <v>-3.6600222399029186E-2</v>
      </c>
    </row>
    <row r="51" spans="1:29" x14ac:dyDescent="0.25">
      <c r="A51" t="s">
        <v>123</v>
      </c>
      <c r="B51" s="1">
        <v>46167</v>
      </c>
      <c r="C51" s="1">
        <v>46131</v>
      </c>
      <c r="D51" t="s">
        <v>26</v>
      </c>
      <c r="E51" t="s">
        <v>52</v>
      </c>
      <c r="F51" t="s">
        <v>53</v>
      </c>
      <c r="G51" t="s">
        <v>80</v>
      </c>
      <c r="H51" t="s">
        <v>80</v>
      </c>
      <c r="I51" t="s">
        <v>73</v>
      </c>
      <c r="J51" t="s">
        <v>74</v>
      </c>
      <c r="K51" s="14" t="str">
        <f t="shared" si="0"/>
        <v>Enugu → Oyo</v>
      </c>
      <c r="L51" t="s">
        <v>41</v>
      </c>
      <c r="M51">
        <v>42</v>
      </c>
      <c r="N51">
        <v>41</v>
      </c>
      <c r="O51">
        <v>1</v>
      </c>
      <c r="P51">
        <v>330</v>
      </c>
      <c r="Q51" s="14" t="str">
        <f t="shared" si="1"/>
        <v>251–500 km</v>
      </c>
      <c r="R51" s="14" t="str">
        <f>IF(Table2[[#This Row],[Distance Bands]]="0–100 km","Short",
IF(Table2[[#This Row],[Distance Bands]]="101–250 km","Medium",
IF(Table2[[#This Row],[Distance Bands]]="251–500 km","Long",
IF(Table2[[#This Row],[Distance Bands]]="501–1,000 km","Very Long",
"Extreme"))))</f>
        <v>Long</v>
      </c>
      <c r="S51" s="13">
        <f>Table2[[#This Row],[Freight_Cost_NGN]]/Table2[[#This Row],[Distance_km]]</f>
        <v>1854.0363636363636</v>
      </c>
      <c r="T51">
        <v>2</v>
      </c>
      <c r="U51">
        <v>2</v>
      </c>
      <c r="V51" s="14">
        <f>Table2[[#This Row],[Actual_Transit_Days]]-Table2[[#This Row],[Planned_Transit_Days]]</f>
        <v>0</v>
      </c>
      <c r="W51">
        <v>611832</v>
      </c>
      <c r="X51">
        <v>610882</v>
      </c>
      <c r="Y51" t="s">
        <v>42</v>
      </c>
      <c r="Z51" s="14">
        <f>IF(Table2[[#This Row],[Delivery_Date]]&lt;=Table2[[#This Row],[Planned_Date]],1,0)</f>
        <v>1</v>
      </c>
      <c r="AA51" s="18">
        <f>Table2[[#This Row],[Units_Damaged]]/Table2[[#This Row],[Units_Shipped]]</f>
        <v>2.3809523809523808E-2</v>
      </c>
      <c r="AB51">
        <f t="shared" si="2"/>
        <v>950</v>
      </c>
      <c r="AC51" s="17">
        <f t="shared" si="3"/>
        <v>1.5551284863525197E-3</v>
      </c>
    </row>
    <row r="52" spans="1:29" x14ac:dyDescent="0.25">
      <c r="A52" t="s">
        <v>124</v>
      </c>
      <c r="B52" s="1">
        <v>46168</v>
      </c>
      <c r="C52" s="1">
        <v>46145</v>
      </c>
      <c r="D52" t="s">
        <v>62</v>
      </c>
      <c r="E52" t="s">
        <v>67</v>
      </c>
      <c r="F52" t="s">
        <v>63</v>
      </c>
      <c r="G52" t="s">
        <v>54</v>
      </c>
      <c r="H52" t="s">
        <v>55</v>
      </c>
      <c r="I52" t="s">
        <v>29</v>
      </c>
      <c r="J52" t="s">
        <v>29</v>
      </c>
      <c r="K52" s="14" t="str">
        <f t="shared" si="0"/>
        <v>Rivers → Kaduna</v>
      </c>
      <c r="L52" t="s">
        <v>41</v>
      </c>
      <c r="M52">
        <v>136</v>
      </c>
      <c r="N52">
        <v>134</v>
      </c>
      <c r="O52">
        <v>2</v>
      </c>
      <c r="P52">
        <v>162</v>
      </c>
      <c r="Q52" s="14" t="str">
        <f t="shared" si="1"/>
        <v>101–250 km</v>
      </c>
      <c r="R52" s="14" t="str">
        <f>IF(Table2[[#This Row],[Distance Bands]]="0–100 km","Short",
IF(Table2[[#This Row],[Distance Bands]]="101–250 km","Medium",
IF(Table2[[#This Row],[Distance Bands]]="251–500 km","Long",
IF(Table2[[#This Row],[Distance Bands]]="501–1,000 km","Very Long",
"Extreme"))))</f>
        <v>Medium</v>
      </c>
      <c r="S52" s="13">
        <f>Table2[[#This Row],[Freight_Cost_NGN]]/Table2[[#This Row],[Distance_km]]</f>
        <v>9639.3333333333339</v>
      </c>
      <c r="T52">
        <v>6</v>
      </c>
      <c r="U52">
        <v>13</v>
      </c>
      <c r="V52" s="14">
        <f>Table2[[#This Row],[Actual_Transit_Days]]-Table2[[#This Row],[Planned_Transit_Days]]</f>
        <v>7</v>
      </c>
      <c r="W52">
        <v>1561572</v>
      </c>
      <c r="X52">
        <v>1590341</v>
      </c>
      <c r="Y52" t="s">
        <v>75</v>
      </c>
      <c r="Z52" s="14">
        <f>IF(Table2[[#This Row],[Delivery_Date]]&lt;=Table2[[#This Row],[Planned_Date]],1,0)</f>
        <v>1</v>
      </c>
      <c r="AA52" s="18">
        <f>Table2[[#This Row],[Units_Damaged]]/Table2[[#This Row],[Units_Shipped]]</f>
        <v>1.4705882352941176E-2</v>
      </c>
      <c r="AB52">
        <f t="shared" si="2"/>
        <v>-28769</v>
      </c>
      <c r="AC52" s="17">
        <f t="shared" si="3"/>
        <v>-1.8089831048812802E-2</v>
      </c>
    </row>
    <row r="53" spans="1:29" x14ac:dyDescent="0.25">
      <c r="A53" t="s">
        <v>125</v>
      </c>
      <c r="B53" s="1">
        <v>46169</v>
      </c>
      <c r="C53" s="1">
        <v>46156</v>
      </c>
      <c r="D53" t="s">
        <v>57</v>
      </c>
      <c r="E53" t="s">
        <v>85</v>
      </c>
      <c r="F53" t="s">
        <v>37</v>
      </c>
      <c r="G53" t="s">
        <v>58</v>
      </c>
      <c r="H53" t="s">
        <v>59</v>
      </c>
      <c r="I53" t="s">
        <v>68</v>
      </c>
      <c r="J53" t="s">
        <v>69</v>
      </c>
      <c r="K53" s="14" t="str">
        <f t="shared" si="0"/>
        <v>Ogun → Abia</v>
      </c>
      <c r="L53" t="s">
        <v>41</v>
      </c>
      <c r="M53">
        <v>119</v>
      </c>
      <c r="N53">
        <v>119</v>
      </c>
      <c r="O53">
        <v>0</v>
      </c>
      <c r="P53">
        <v>135</v>
      </c>
      <c r="Q53" s="14" t="str">
        <f t="shared" si="1"/>
        <v>101–250 km</v>
      </c>
      <c r="R53" s="14" t="str">
        <f>IF(Table2[[#This Row],[Distance Bands]]="0–100 km","Short",
IF(Table2[[#This Row],[Distance Bands]]="101–250 km","Medium",
IF(Table2[[#This Row],[Distance Bands]]="251–500 km","Long",
IF(Table2[[#This Row],[Distance Bands]]="501–1,000 km","Very Long",
"Extreme"))))</f>
        <v>Medium</v>
      </c>
      <c r="S53" s="13">
        <f>Table2[[#This Row],[Freight_Cost_NGN]]/Table2[[#This Row],[Distance_km]]</f>
        <v>4936.5925925925922</v>
      </c>
      <c r="T53">
        <v>4</v>
      </c>
      <c r="U53">
        <v>4</v>
      </c>
      <c r="V53" s="14">
        <f>Table2[[#This Row],[Actual_Transit_Days]]-Table2[[#This Row],[Planned_Transit_Days]]</f>
        <v>0</v>
      </c>
      <c r="W53">
        <v>666440</v>
      </c>
      <c r="X53">
        <v>630191</v>
      </c>
      <c r="Y53" t="s">
        <v>42</v>
      </c>
      <c r="Z53" s="14">
        <f>IF(Table2[[#This Row],[Delivery_Date]]&lt;=Table2[[#This Row],[Planned_Date]],1,0)</f>
        <v>1</v>
      </c>
      <c r="AA53" s="18">
        <f>Table2[[#This Row],[Units_Damaged]]/Table2[[#This Row],[Units_Shipped]]</f>
        <v>0</v>
      </c>
      <c r="AB53">
        <f t="shared" si="2"/>
        <v>36249</v>
      </c>
      <c r="AC53" s="17">
        <f t="shared" si="3"/>
        <v>5.752065643590594E-2</v>
      </c>
    </row>
    <row r="54" spans="1:29" x14ac:dyDescent="0.25">
      <c r="A54" t="s">
        <v>126</v>
      </c>
      <c r="B54" s="1">
        <v>46170</v>
      </c>
      <c r="C54" s="1">
        <v>46188</v>
      </c>
      <c r="D54" t="s">
        <v>26</v>
      </c>
      <c r="E54" t="s">
        <v>52</v>
      </c>
      <c r="F54" t="s">
        <v>63</v>
      </c>
      <c r="G54" t="s">
        <v>80</v>
      </c>
      <c r="H54" t="s">
        <v>80</v>
      </c>
      <c r="I54" t="s">
        <v>68</v>
      </c>
      <c r="J54" t="s">
        <v>69</v>
      </c>
      <c r="K54" s="14" t="str">
        <f t="shared" si="0"/>
        <v>Enugu → Abia</v>
      </c>
      <c r="L54" t="s">
        <v>41</v>
      </c>
      <c r="M54">
        <v>151</v>
      </c>
      <c r="N54">
        <v>147</v>
      </c>
      <c r="O54">
        <v>4</v>
      </c>
      <c r="P54">
        <v>813</v>
      </c>
      <c r="Q54" s="14" t="str">
        <f t="shared" si="1"/>
        <v>501–1,000 km</v>
      </c>
      <c r="R54" s="14" t="str">
        <f>IF(Table2[[#This Row],[Distance Bands]]="0–100 km","Short",
IF(Table2[[#This Row],[Distance Bands]]="101–250 km","Medium",
IF(Table2[[#This Row],[Distance Bands]]="251–500 km","Long",
IF(Table2[[#This Row],[Distance Bands]]="501–1,000 km","Very Long",
"Extreme"))))</f>
        <v>Very Long</v>
      </c>
      <c r="S54" s="13">
        <f>Table2[[#This Row],[Freight_Cost_NGN]]/Table2[[#This Row],[Distance_km]]</f>
        <v>2028.4833948339483</v>
      </c>
      <c r="T54">
        <v>2</v>
      </c>
      <c r="U54">
        <v>2</v>
      </c>
      <c r="V54" s="14">
        <f>Table2[[#This Row],[Actual_Transit_Days]]-Table2[[#This Row],[Planned_Transit_Days]]</f>
        <v>0</v>
      </c>
      <c r="W54">
        <v>1649157</v>
      </c>
      <c r="X54">
        <v>1631880</v>
      </c>
      <c r="Y54" t="s">
        <v>42</v>
      </c>
      <c r="Z54" s="14">
        <f>IF(Table2[[#This Row],[Delivery_Date]]&lt;=Table2[[#This Row],[Planned_Date]],1,0)</f>
        <v>0</v>
      </c>
      <c r="AA54" s="18">
        <f>Table2[[#This Row],[Units_Damaged]]/Table2[[#This Row],[Units_Shipped]]</f>
        <v>2.6490066225165563E-2</v>
      </c>
      <c r="AB54">
        <f t="shared" si="2"/>
        <v>17277</v>
      </c>
      <c r="AC54" s="17">
        <f t="shared" si="3"/>
        <v>1.0587175527612324E-2</v>
      </c>
    </row>
    <row r="55" spans="1:29" x14ac:dyDescent="0.25">
      <c r="A55" t="s">
        <v>127</v>
      </c>
      <c r="B55" s="1">
        <v>46171</v>
      </c>
      <c r="C55" s="1">
        <v>46122</v>
      </c>
      <c r="D55" t="s">
        <v>62</v>
      </c>
      <c r="E55" t="s">
        <v>52</v>
      </c>
      <c r="F55" t="s">
        <v>28</v>
      </c>
      <c r="G55" t="s">
        <v>64</v>
      </c>
      <c r="H55" t="s">
        <v>65</v>
      </c>
      <c r="I55" t="s">
        <v>39</v>
      </c>
      <c r="J55" t="s">
        <v>40</v>
      </c>
      <c r="K55" s="14" t="str">
        <f t="shared" si="0"/>
        <v>Plateau → Anambra</v>
      </c>
      <c r="L55" t="s">
        <v>41</v>
      </c>
      <c r="M55">
        <v>49</v>
      </c>
      <c r="N55">
        <v>48</v>
      </c>
      <c r="O55">
        <v>1</v>
      </c>
      <c r="P55">
        <v>97</v>
      </c>
      <c r="Q55" s="14" t="str">
        <f t="shared" si="1"/>
        <v>0–100 km</v>
      </c>
      <c r="R55" s="14" t="str">
        <f>IF(Table2[[#This Row],[Distance Bands]]="0–100 km","Short",
IF(Table2[[#This Row],[Distance Bands]]="101–250 km","Medium",
IF(Table2[[#This Row],[Distance Bands]]="251–500 km","Long",
IF(Table2[[#This Row],[Distance Bands]]="501–1,000 km","Very Long",
"Extreme"))))</f>
        <v>Short</v>
      </c>
      <c r="S55" s="13">
        <f>Table2[[#This Row],[Freight_Cost_NGN]]/Table2[[#This Row],[Distance_km]]</f>
        <v>6175.4536082474224</v>
      </c>
      <c r="T55">
        <v>6</v>
      </c>
      <c r="U55">
        <v>6</v>
      </c>
      <c r="V55" s="14">
        <f>Table2[[#This Row],[Actual_Transit_Days]]-Table2[[#This Row],[Planned_Transit_Days]]</f>
        <v>0</v>
      </c>
      <c r="W55">
        <v>599019</v>
      </c>
      <c r="X55">
        <v>608740</v>
      </c>
      <c r="Y55" t="s">
        <v>42</v>
      </c>
      <c r="Z55" s="14">
        <f>IF(Table2[[#This Row],[Delivery_Date]]&lt;=Table2[[#This Row],[Planned_Date]],1,0)</f>
        <v>1</v>
      </c>
      <c r="AA55" s="18">
        <f>Table2[[#This Row],[Units_Damaged]]/Table2[[#This Row],[Units_Shipped]]</f>
        <v>2.0408163265306121E-2</v>
      </c>
      <c r="AB55">
        <f t="shared" si="2"/>
        <v>-9721</v>
      </c>
      <c r="AC55" s="17">
        <f t="shared" si="3"/>
        <v>-1.5969050826296943E-2</v>
      </c>
    </row>
    <row r="56" spans="1:29" x14ac:dyDescent="0.25">
      <c r="A56" t="s">
        <v>128</v>
      </c>
      <c r="B56" s="1">
        <v>46172</v>
      </c>
      <c r="C56" s="1">
        <v>46039</v>
      </c>
      <c r="D56" t="s">
        <v>26</v>
      </c>
      <c r="E56" t="s">
        <v>85</v>
      </c>
      <c r="F56" t="s">
        <v>28</v>
      </c>
      <c r="G56" t="s">
        <v>30</v>
      </c>
      <c r="H56" t="s">
        <v>31</v>
      </c>
      <c r="I56" t="s">
        <v>72</v>
      </c>
      <c r="J56" t="s">
        <v>72</v>
      </c>
      <c r="K56" s="14" t="str">
        <f t="shared" si="0"/>
        <v>Kwara → Lagos</v>
      </c>
      <c r="L56" t="s">
        <v>32</v>
      </c>
      <c r="M56">
        <v>51</v>
      </c>
      <c r="N56">
        <v>49</v>
      </c>
      <c r="O56">
        <v>2</v>
      </c>
      <c r="P56">
        <v>663</v>
      </c>
      <c r="Q56" s="14" t="str">
        <f t="shared" si="1"/>
        <v>501–1,000 km</v>
      </c>
      <c r="R56" s="14" t="str">
        <f>IF(Table2[[#This Row],[Distance Bands]]="0–100 km","Short",
IF(Table2[[#This Row],[Distance Bands]]="101–250 km","Medium",
IF(Table2[[#This Row],[Distance Bands]]="251–500 km","Long",
IF(Table2[[#This Row],[Distance Bands]]="501–1,000 km","Very Long",
"Extreme"))))</f>
        <v>Very Long</v>
      </c>
      <c r="S56" s="13">
        <f>Table2[[#This Row],[Freight_Cost_NGN]]/Table2[[#This Row],[Distance_km]]</f>
        <v>713.38461538461536</v>
      </c>
      <c r="T56">
        <v>5</v>
      </c>
      <c r="U56">
        <v>5</v>
      </c>
      <c r="V56" s="14">
        <f>Table2[[#This Row],[Actual_Transit_Days]]-Table2[[#This Row],[Planned_Transit_Days]]</f>
        <v>0</v>
      </c>
      <c r="W56">
        <v>472974</v>
      </c>
      <c r="X56">
        <v>457471</v>
      </c>
      <c r="Y56" t="s">
        <v>42</v>
      </c>
      <c r="Z56" s="14">
        <f>IF(Table2[[#This Row],[Delivery_Date]]&lt;=Table2[[#This Row],[Planned_Date]],1,0)</f>
        <v>1</v>
      </c>
      <c r="AA56" s="18">
        <f>Table2[[#This Row],[Units_Damaged]]/Table2[[#This Row],[Units_Shipped]]</f>
        <v>3.9215686274509803E-2</v>
      </c>
      <c r="AB56">
        <f t="shared" si="2"/>
        <v>15503</v>
      </c>
      <c r="AC56" s="17">
        <f t="shared" si="3"/>
        <v>3.3888486920482394E-2</v>
      </c>
    </row>
    <row r="57" spans="1:29" x14ac:dyDescent="0.25">
      <c r="A57" t="s">
        <v>129</v>
      </c>
      <c r="B57" s="1">
        <v>46173</v>
      </c>
      <c r="C57" s="1">
        <v>46042</v>
      </c>
      <c r="D57" t="s">
        <v>62</v>
      </c>
      <c r="E57" t="s">
        <v>45</v>
      </c>
      <c r="F57" t="s">
        <v>28</v>
      </c>
      <c r="G57" t="s">
        <v>68</v>
      </c>
      <c r="H57" t="s">
        <v>69</v>
      </c>
      <c r="I57" t="s">
        <v>49</v>
      </c>
      <c r="J57" t="s">
        <v>50</v>
      </c>
      <c r="K57" s="14" t="str">
        <f t="shared" si="0"/>
        <v>Abia → Niger</v>
      </c>
      <c r="L57" t="s">
        <v>41</v>
      </c>
      <c r="M57">
        <v>7</v>
      </c>
      <c r="N57">
        <v>7</v>
      </c>
      <c r="O57">
        <v>0</v>
      </c>
      <c r="P57">
        <v>647</v>
      </c>
      <c r="Q57" s="14" t="str">
        <f t="shared" si="1"/>
        <v>501–1,000 km</v>
      </c>
      <c r="R57" s="14" t="str">
        <f>IF(Table2[[#This Row],[Distance Bands]]="0–100 km","Short",
IF(Table2[[#This Row],[Distance Bands]]="101–250 km","Medium",
IF(Table2[[#This Row],[Distance Bands]]="251–500 km","Long",
IF(Table2[[#This Row],[Distance Bands]]="501–1,000 km","Very Long",
"Extreme"))))</f>
        <v>Very Long</v>
      </c>
      <c r="S57" s="13">
        <f>Table2[[#This Row],[Freight_Cost_NGN]]/Table2[[#This Row],[Distance_km]]</f>
        <v>445.61823802163832</v>
      </c>
      <c r="T57">
        <v>2</v>
      </c>
      <c r="U57">
        <v>2</v>
      </c>
      <c r="V57" s="14">
        <f>Table2[[#This Row],[Actual_Transit_Days]]-Table2[[#This Row],[Planned_Transit_Days]]</f>
        <v>0</v>
      </c>
      <c r="W57">
        <v>288315</v>
      </c>
      <c r="X57">
        <v>308474</v>
      </c>
      <c r="Y57" t="s">
        <v>42</v>
      </c>
      <c r="Z57" s="14">
        <f>IF(Table2[[#This Row],[Delivery_Date]]&lt;=Table2[[#This Row],[Planned_Date]],1,0)</f>
        <v>1</v>
      </c>
      <c r="AA57" s="18">
        <f>Table2[[#This Row],[Units_Damaged]]/Table2[[#This Row],[Units_Shipped]]</f>
        <v>0</v>
      </c>
      <c r="AB57">
        <f t="shared" si="2"/>
        <v>-20159</v>
      </c>
      <c r="AC57" s="17">
        <f t="shared" si="3"/>
        <v>-6.5350726479379131E-2</v>
      </c>
    </row>
    <row r="58" spans="1:29" x14ac:dyDescent="0.25">
      <c r="A58" t="s">
        <v>130</v>
      </c>
      <c r="B58" s="1">
        <v>46174</v>
      </c>
      <c r="C58" s="1">
        <v>46045</v>
      </c>
      <c r="D58" t="s">
        <v>57</v>
      </c>
      <c r="E58" t="s">
        <v>52</v>
      </c>
      <c r="F58" t="s">
        <v>63</v>
      </c>
      <c r="G58" t="s">
        <v>29</v>
      </c>
      <c r="H58" t="s">
        <v>29</v>
      </c>
      <c r="I58" t="s">
        <v>64</v>
      </c>
      <c r="J58" t="s">
        <v>65</v>
      </c>
      <c r="K58" s="14" t="str">
        <f t="shared" si="0"/>
        <v>Kaduna → Plateau</v>
      </c>
      <c r="L58" t="s">
        <v>32</v>
      </c>
      <c r="M58">
        <v>48</v>
      </c>
      <c r="N58">
        <v>48</v>
      </c>
      <c r="O58">
        <v>0</v>
      </c>
      <c r="P58">
        <v>561</v>
      </c>
      <c r="Q58" s="14" t="str">
        <f t="shared" si="1"/>
        <v>501–1,000 km</v>
      </c>
      <c r="R58" s="14" t="str">
        <f>IF(Table2[[#This Row],[Distance Bands]]="0–100 km","Short",
IF(Table2[[#This Row],[Distance Bands]]="101–250 km","Medium",
IF(Table2[[#This Row],[Distance Bands]]="251–500 km","Long",
IF(Table2[[#This Row],[Distance Bands]]="501–1,000 km","Very Long",
"Extreme"))))</f>
        <v>Very Long</v>
      </c>
      <c r="S58" s="13">
        <f>Table2[[#This Row],[Freight_Cost_NGN]]/Table2[[#This Row],[Distance_km]]</f>
        <v>1085.0374331550802</v>
      </c>
      <c r="T58">
        <v>2</v>
      </c>
      <c r="U58">
        <v>2</v>
      </c>
      <c r="V58" s="14">
        <f>Table2[[#This Row],[Actual_Transit_Days]]-Table2[[#This Row],[Planned_Transit_Days]]</f>
        <v>0</v>
      </c>
      <c r="W58">
        <v>608706</v>
      </c>
      <c r="X58">
        <v>632274</v>
      </c>
      <c r="Y58" t="s">
        <v>42</v>
      </c>
      <c r="Z58" s="14">
        <f>IF(Table2[[#This Row],[Delivery_Date]]&lt;=Table2[[#This Row],[Planned_Date]],1,0)</f>
        <v>1</v>
      </c>
      <c r="AA58" s="18">
        <f>Table2[[#This Row],[Units_Damaged]]/Table2[[#This Row],[Units_Shipped]]</f>
        <v>0</v>
      </c>
      <c r="AB58">
        <f t="shared" si="2"/>
        <v>-23568</v>
      </c>
      <c r="AC58" s="17">
        <f t="shared" si="3"/>
        <v>-3.7274978885736249E-2</v>
      </c>
    </row>
    <row r="59" spans="1:29" x14ac:dyDescent="0.25">
      <c r="A59" t="s">
        <v>131</v>
      </c>
      <c r="B59" s="1">
        <v>46175</v>
      </c>
      <c r="C59" s="1">
        <v>46259</v>
      </c>
      <c r="D59" t="s">
        <v>57</v>
      </c>
      <c r="E59" t="s">
        <v>85</v>
      </c>
      <c r="F59" t="s">
        <v>37</v>
      </c>
      <c r="G59" t="s">
        <v>58</v>
      </c>
      <c r="H59" t="s">
        <v>59</v>
      </c>
      <c r="I59" t="s">
        <v>47</v>
      </c>
      <c r="J59" t="s">
        <v>48</v>
      </c>
      <c r="K59" s="14" t="str">
        <f t="shared" si="0"/>
        <v>Ogun → Cross River</v>
      </c>
      <c r="L59" t="s">
        <v>41</v>
      </c>
      <c r="M59">
        <v>12</v>
      </c>
      <c r="N59">
        <v>12</v>
      </c>
      <c r="O59">
        <v>0</v>
      </c>
      <c r="P59">
        <v>393</v>
      </c>
      <c r="Q59" s="14" t="str">
        <f t="shared" si="1"/>
        <v>251–500 km</v>
      </c>
      <c r="R59" s="14" t="str">
        <f>IF(Table2[[#This Row],[Distance Bands]]="0–100 km","Short",
IF(Table2[[#This Row],[Distance Bands]]="101–250 km","Medium",
IF(Table2[[#This Row],[Distance Bands]]="251–500 km","Long",
IF(Table2[[#This Row],[Distance Bands]]="501–1,000 km","Very Long",
"Extreme"))))</f>
        <v>Long</v>
      </c>
      <c r="S59" s="13">
        <f>Table2[[#This Row],[Freight_Cost_NGN]]/Table2[[#This Row],[Distance_km]]</f>
        <v>579.81679389312978</v>
      </c>
      <c r="T59">
        <v>4</v>
      </c>
      <c r="U59">
        <v>5</v>
      </c>
      <c r="V59" s="14">
        <f>Table2[[#This Row],[Actual_Transit_Days]]-Table2[[#This Row],[Planned_Transit_Days]]</f>
        <v>1</v>
      </c>
      <c r="W59">
        <v>227868</v>
      </c>
      <c r="X59">
        <v>226900</v>
      </c>
      <c r="Y59" t="s">
        <v>33</v>
      </c>
      <c r="Z59" s="14">
        <f>IF(Table2[[#This Row],[Delivery_Date]]&lt;=Table2[[#This Row],[Planned_Date]],1,0)</f>
        <v>0</v>
      </c>
      <c r="AA59" s="18">
        <f>Table2[[#This Row],[Units_Damaged]]/Table2[[#This Row],[Units_Shipped]]</f>
        <v>0</v>
      </c>
      <c r="AB59">
        <f t="shared" si="2"/>
        <v>968</v>
      </c>
      <c r="AC59" s="17">
        <f t="shared" si="3"/>
        <v>4.2661965623622738E-3</v>
      </c>
    </row>
    <row r="60" spans="1:29" x14ac:dyDescent="0.25">
      <c r="A60" t="s">
        <v>132</v>
      </c>
      <c r="B60" s="1">
        <v>46176</v>
      </c>
      <c r="C60" s="1">
        <v>46261</v>
      </c>
      <c r="D60" t="s">
        <v>26</v>
      </c>
      <c r="E60" t="s">
        <v>103</v>
      </c>
      <c r="F60" t="s">
        <v>46</v>
      </c>
      <c r="G60" t="s">
        <v>68</v>
      </c>
      <c r="H60" t="s">
        <v>69</v>
      </c>
      <c r="I60" t="s">
        <v>91</v>
      </c>
      <c r="J60" t="s">
        <v>92</v>
      </c>
      <c r="K60" s="14" t="str">
        <f t="shared" si="0"/>
        <v>Abia → Delta</v>
      </c>
      <c r="L60" t="s">
        <v>41</v>
      </c>
      <c r="M60">
        <v>25</v>
      </c>
      <c r="N60">
        <v>25</v>
      </c>
      <c r="O60">
        <v>0</v>
      </c>
      <c r="P60">
        <v>734</v>
      </c>
      <c r="Q60" s="14" t="str">
        <f t="shared" si="1"/>
        <v>501–1,000 km</v>
      </c>
      <c r="R60" s="14" t="str">
        <f>IF(Table2[[#This Row],[Distance Bands]]="0–100 km","Short",
IF(Table2[[#This Row],[Distance Bands]]="101–250 km","Medium",
IF(Table2[[#This Row],[Distance Bands]]="251–500 km","Long",
IF(Table2[[#This Row],[Distance Bands]]="501–1,000 km","Very Long",
"Extreme"))))</f>
        <v>Very Long</v>
      </c>
      <c r="S60" s="13">
        <f>Table2[[#This Row],[Freight_Cost_NGN]]/Table2[[#This Row],[Distance_km]]</f>
        <v>468.9359673024523</v>
      </c>
      <c r="T60">
        <v>6</v>
      </c>
      <c r="U60">
        <v>6</v>
      </c>
      <c r="V60" s="14">
        <f>Table2[[#This Row],[Actual_Transit_Days]]-Table2[[#This Row],[Planned_Transit_Days]]</f>
        <v>0</v>
      </c>
      <c r="W60">
        <v>344199</v>
      </c>
      <c r="X60">
        <v>327724</v>
      </c>
      <c r="Y60" t="s">
        <v>42</v>
      </c>
      <c r="Z60" s="14">
        <f>IF(Table2[[#This Row],[Delivery_Date]]&lt;=Table2[[#This Row],[Planned_Date]],1,0)</f>
        <v>0</v>
      </c>
      <c r="AA60" s="18">
        <f>Table2[[#This Row],[Units_Damaged]]/Table2[[#This Row],[Units_Shipped]]</f>
        <v>0</v>
      </c>
      <c r="AB60">
        <f t="shared" si="2"/>
        <v>16475</v>
      </c>
      <c r="AC60" s="17">
        <f t="shared" si="3"/>
        <v>5.0270959709999875E-2</v>
      </c>
    </row>
    <row r="61" spans="1:29" x14ac:dyDescent="0.25">
      <c r="A61" t="s">
        <v>133</v>
      </c>
      <c r="B61" s="1">
        <v>46177</v>
      </c>
      <c r="C61" s="1">
        <v>46070</v>
      </c>
      <c r="D61" t="s">
        <v>44</v>
      </c>
      <c r="E61" t="s">
        <v>57</v>
      </c>
      <c r="F61" t="s">
        <v>37</v>
      </c>
      <c r="G61" t="s">
        <v>29</v>
      </c>
      <c r="H61" t="s">
        <v>29</v>
      </c>
      <c r="I61" t="s">
        <v>73</v>
      </c>
      <c r="J61" t="s">
        <v>74</v>
      </c>
      <c r="K61" s="14" t="str">
        <f t="shared" si="0"/>
        <v>Kaduna → Oyo</v>
      </c>
      <c r="L61" t="s">
        <v>32</v>
      </c>
      <c r="M61">
        <v>10</v>
      </c>
      <c r="N61">
        <v>10</v>
      </c>
      <c r="O61">
        <v>0</v>
      </c>
      <c r="P61">
        <v>346</v>
      </c>
      <c r="Q61" s="14" t="str">
        <f t="shared" si="1"/>
        <v>251–500 km</v>
      </c>
      <c r="R61" s="14" t="str">
        <f>IF(Table2[[#This Row],[Distance Bands]]="0–100 km","Short",
IF(Table2[[#This Row],[Distance Bands]]="101–250 km","Medium",
IF(Table2[[#This Row],[Distance Bands]]="251–500 km","Long",
IF(Table2[[#This Row],[Distance Bands]]="501–1,000 km","Very Long",
"Extreme"))))</f>
        <v>Long</v>
      </c>
      <c r="S61" s="13">
        <f>Table2[[#This Row],[Freight_Cost_NGN]]/Table2[[#This Row],[Distance_km]]</f>
        <v>749.31791907514446</v>
      </c>
      <c r="T61">
        <v>3</v>
      </c>
      <c r="U61">
        <v>13</v>
      </c>
      <c r="V61" s="14">
        <f>Table2[[#This Row],[Actual_Transit_Days]]-Table2[[#This Row],[Planned_Transit_Days]]</f>
        <v>10</v>
      </c>
      <c r="W61">
        <v>259264</v>
      </c>
      <c r="X61">
        <v>286092</v>
      </c>
      <c r="Y61" t="s">
        <v>75</v>
      </c>
      <c r="Z61" s="14">
        <f>IF(Table2[[#This Row],[Delivery_Date]]&lt;=Table2[[#This Row],[Planned_Date]],1,0)</f>
        <v>1</v>
      </c>
      <c r="AA61" s="18">
        <f>Table2[[#This Row],[Units_Damaged]]/Table2[[#This Row],[Units_Shipped]]</f>
        <v>0</v>
      </c>
      <c r="AB61">
        <f t="shared" si="2"/>
        <v>-26828</v>
      </c>
      <c r="AC61" s="17">
        <f t="shared" si="3"/>
        <v>-9.3774030731373123E-2</v>
      </c>
    </row>
    <row r="62" spans="1:29" x14ac:dyDescent="0.25">
      <c r="A62" t="s">
        <v>134</v>
      </c>
      <c r="B62" s="1">
        <v>46178</v>
      </c>
      <c r="C62" s="1">
        <v>46210</v>
      </c>
      <c r="D62" t="s">
        <v>35</v>
      </c>
      <c r="E62" t="s">
        <v>67</v>
      </c>
      <c r="F62" t="s">
        <v>63</v>
      </c>
      <c r="G62" t="s">
        <v>38</v>
      </c>
      <c r="H62" t="s">
        <v>38</v>
      </c>
      <c r="I62" t="s">
        <v>49</v>
      </c>
      <c r="J62" t="s">
        <v>50</v>
      </c>
      <c r="K62" s="14" t="str">
        <f t="shared" si="0"/>
        <v>Kano → Niger</v>
      </c>
      <c r="L62" t="s">
        <v>41</v>
      </c>
      <c r="M62">
        <v>158</v>
      </c>
      <c r="N62">
        <v>155</v>
      </c>
      <c r="O62">
        <v>3</v>
      </c>
      <c r="P62">
        <v>142</v>
      </c>
      <c r="Q62" s="14" t="str">
        <f t="shared" si="1"/>
        <v>101–250 km</v>
      </c>
      <c r="R62" s="14" t="str">
        <f>IF(Table2[[#This Row],[Distance Bands]]="0–100 km","Short",
IF(Table2[[#This Row],[Distance Bands]]="101–250 km","Medium",
IF(Table2[[#This Row],[Distance Bands]]="251–500 km","Long",
IF(Table2[[#This Row],[Distance Bands]]="501–1,000 km","Very Long",
"Extreme"))))</f>
        <v>Medium</v>
      </c>
      <c r="S62" s="13">
        <f>Table2[[#This Row],[Freight_Cost_NGN]]/Table2[[#This Row],[Distance_km]]</f>
        <v>15300.549295774648</v>
      </c>
      <c r="T62">
        <v>5</v>
      </c>
      <c r="U62">
        <v>5</v>
      </c>
      <c r="V62" s="14">
        <f>Table2[[#This Row],[Actual_Transit_Days]]-Table2[[#This Row],[Planned_Transit_Days]]</f>
        <v>0</v>
      </c>
      <c r="W62">
        <v>2172678</v>
      </c>
      <c r="X62">
        <v>2318789</v>
      </c>
      <c r="Y62" t="s">
        <v>42</v>
      </c>
      <c r="Z62" s="14">
        <f>IF(Table2[[#This Row],[Delivery_Date]]&lt;=Table2[[#This Row],[Planned_Date]],1,0)</f>
        <v>0</v>
      </c>
      <c r="AA62" s="18">
        <f>Table2[[#This Row],[Units_Damaged]]/Table2[[#This Row],[Units_Shipped]]</f>
        <v>1.8987341772151899E-2</v>
      </c>
      <c r="AB62">
        <f t="shared" si="2"/>
        <v>-146111</v>
      </c>
      <c r="AC62" s="17">
        <f t="shared" si="3"/>
        <v>-6.3011770368067127E-2</v>
      </c>
    </row>
    <row r="63" spans="1:29" x14ac:dyDescent="0.25">
      <c r="A63" t="s">
        <v>135</v>
      </c>
      <c r="B63" s="1">
        <v>46179</v>
      </c>
      <c r="C63" s="1">
        <v>46130</v>
      </c>
      <c r="D63" t="s">
        <v>35</v>
      </c>
      <c r="E63" t="s">
        <v>52</v>
      </c>
      <c r="F63" t="s">
        <v>37</v>
      </c>
      <c r="G63" t="s">
        <v>54</v>
      </c>
      <c r="H63" t="s">
        <v>55</v>
      </c>
      <c r="I63" t="s">
        <v>80</v>
      </c>
      <c r="J63" t="s">
        <v>80</v>
      </c>
      <c r="K63" s="14" t="str">
        <f t="shared" si="0"/>
        <v>Rivers → Enugu</v>
      </c>
      <c r="L63" t="s">
        <v>32</v>
      </c>
      <c r="M63">
        <v>138</v>
      </c>
      <c r="N63">
        <v>137</v>
      </c>
      <c r="O63">
        <v>1</v>
      </c>
      <c r="P63">
        <v>714</v>
      </c>
      <c r="Q63" s="14" t="str">
        <f t="shared" si="1"/>
        <v>501–1,000 km</v>
      </c>
      <c r="R63" s="14" t="str">
        <f>IF(Table2[[#This Row],[Distance Bands]]="0–100 km","Short",
IF(Table2[[#This Row],[Distance Bands]]="101–250 km","Medium",
IF(Table2[[#This Row],[Distance Bands]]="251–500 km","Long",
IF(Table2[[#This Row],[Distance Bands]]="501–1,000 km","Very Long",
"Extreme"))))</f>
        <v>Very Long</v>
      </c>
      <c r="S63" s="13">
        <f>Table2[[#This Row],[Freight_Cost_NGN]]/Table2[[#This Row],[Distance_km]]</f>
        <v>1281.4873949579833</v>
      </c>
      <c r="T63">
        <v>3</v>
      </c>
      <c r="U63">
        <v>4</v>
      </c>
      <c r="V63" s="14">
        <f>Table2[[#This Row],[Actual_Transit_Days]]-Table2[[#This Row],[Planned_Transit_Days]]</f>
        <v>1</v>
      </c>
      <c r="W63">
        <v>914982</v>
      </c>
      <c r="X63">
        <v>853380</v>
      </c>
      <c r="Y63" t="s">
        <v>33</v>
      </c>
      <c r="Z63" s="14">
        <f>IF(Table2[[#This Row],[Delivery_Date]]&lt;=Table2[[#This Row],[Planned_Date]],1,0)</f>
        <v>1</v>
      </c>
      <c r="AA63" s="18">
        <f>Table2[[#This Row],[Units_Damaged]]/Table2[[#This Row],[Units_Shipped]]</f>
        <v>7.246376811594203E-3</v>
      </c>
      <c r="AB63">
        <f t="shared" si="2"/>
        <v>61602</v>
      </c>
      <c r="AC63" s="17">
        <f t="shared" si="3"/>
        <v>7.2185896083807918E-2</v>
      </c>
    </row>
    <row r="64" spans="1:29" x14ac:dyDescent="0.25">
      <c r="A64" t="s">
        <v>136</v>
      </c>
      <c r="B64" s="1">
        <v>46180</v>
      </c>
      <c r="C64" s="1">
        <v>46067</v>
      </c>
      <c r="D64" t="s">
        <v>35</v>
      </c>
      <c r="E64" t="s">
        <v>67</v>
      </c>
      <c r="F64" t="s">
        <v>53</v>
      </c>
      <c r="G64" t="s">
        <v>47</v>
      </c>
      <c r="H64" t="s">
        <v>48</v>
      </c>
      <c r="I64" t="s">
        <v>38</v>
      </c>
      <c r="J64" t="s">
        <v>38</v>
      </c>
      <c r="K64" s="14" t="str">
        <f t="shared" si="0"/>
        <v>Cross River → Kano</v>
      </c>
      <c r="L64" t="s">
        <v>32</v>
      </c>
      <c r="M64">
        <v>53</v>
      </c>
      <c r="N64">
        <v>51</v>
      </c>
      <c r="O64">
        <v>2</v>
      </c>
      <c r="P64">
        <v>605</v>
      </c>
      <c r="Q64" s="14" t="str">
        <f t="shared" si="1"/>
        <v>501–1,000 km</v>
      </c>
      <c r="R64" s="14" t="str">
        <f>IF(Table2[[#This Row],[Distance Bands]]="0–100 km","Short",
IF(Table2[[#This Row],[Distance Bands]]="101–250 km","Medium",
IF(Table2[[#This Row],[Distance Bands]]="251–500 km","Long",
IF(Table2[[#This Row],[Distance Bands]]="501–1,000 km","Very Long",
"Extreme"))))</f>
        <v>Very Long</v>
      </c>
      <c r="S64" s="13">
        <f>Table2[[#This Row],[Freight_Cost_NGN]]/Table2[[#This Row],[Distance_km]]</f>
        <v>997.80165289256195</v>
      </c>
      <c r="T64">
        <v>3</v>
      </c>
      <c r="U64">
        <v>3</v>
      </c>
      <c r="V64" s="14">
        <f>Table2[[#This Row],[Actual_Transit_Days]]-Table2[[#This Row],[Planned_Transit_Days]]</f>
        <v>0</v>
      </c>
      <c r="W64">
        <v>603670</v>
      </c>
      <c r="X64">
        <v>570383</v>
      </c>
      <c r="Y64" t="s">
        <v>42</v>
      </c>
      <c r="Z64" s="14">
        <f>IF(Table2[[#This Row],[Delivery_Date]]&lt;=Table2[[#This Row],[Planned_Date]],1,0)</f>
        <v>1</v>
      </c>
      <c r="AA64" s="18">
        <f>Table2[[#This Row],[Units_Damaged]]/Table2[[#This Row],[Units_Shipped]]</f>
        <v>3.7735849056603772E-2</v>
      </c>
      <c r="AB64">
        <f t="shared" si="2"/>
        <v>33287</v>
      </c>
      <c r="AC64" s="17">
        <f t="shared" si="3"/>
        <v>5.835903243960637E-2</v>
      </c>
    </row>
    <row r="65" spans="1:29" x14ac:dyDescent="0.25">
      <c r="A65" t="s">
        <v>137</v>
      </c>
      <c r="B65" s="1">
        <v>46181</v>
      </c>
      <c r="C65" s="1">
        <v>46071</v>
      </c>
      <c r="D65" t="s">
        <v>57</v>
      </c>
      <c r="E65" t="s">
        <v>103</v>
      </c>
      <c r="F65" t="s">
        <v>28</v>
      </c>
      <c r="G65" t="s">
        <v>73</v>
      </c>
      <c r="H65" t="s">
        <v>74</v>
      </c>
      <c r="I65" t="s">
        <v>72</v>
      </c>
      <c r="J65" t="s">
        <v>72</v>
      </c>
      <c r="K65" s="14" t="str">
        <f t="shared" si="0"/>
        <v>Oyo → Lagos</v>
      </c>
      <c r="L65" t="s">
        <v>32</v>
      </c>
      <c r="M65">
        <v>97</v>
      </c>
      <c r="N65">
        <v>96</v>
      </c>
      <c r="O65">
        <v>1</v>
      </c>
      <c r="P65">
        <v>803</v>
      </c>
      <c r="Q65" s="14" t="str">
        <f t="shared" si="1"/>
        <v>501–1,000 km</v>
      </c>
      <c r="R65" s="14" t="str">
        <f>IF(Table2[[#This Row],[Distance Bands]]="0–100 km","Short",
IF(Table2[[#This Row],[Distance Bands]]="101–250 km","Medium",
IF(Table2[[#This Row],[Distance Bands]]="251–500 km","Long",
IF(Table2[[#This Row],[Distance Bands]]="501–1,000 km","Very Long",
"Extreme"))))</f>
        <v>Very Long</v>
      </c>
      <c r="S65" s="13">
        <f>Table2[[#This Row],[Freight_Cost_NGN]]/Table2[[#This Row],[Distance_km]]</f>
        <v>2016.4906600249067</v>
      </c>
      <c r="T65">
        <v>5</v>
      </c>
      <c r="U65">
        <v>5</v>
      </c>
      <c r="V65" s="14">
        <f>Table2[[#This Row],[Actual_Transit_Days]]-Table2[[#This Row],[Planned_Transit_Days]]</f>
        <v>0</v>
      </c>
      <c r="W65">
        <v>1619242</v>
      </c>
      <c r="X65">
        <v>1554999</v>
      </c>
      <c r="Y65" t="s">
        <v>42</v>
      </c>
      <c r="Z65" s="14">
        <f>IF(Table2[[#This Row],[Delivery_Date]]&lt;=Table2[[#This Row],[Planned_Date]],1,0)</f>
        <v>1</v>
      </c>
      <c r="AA65" s="18">
        <f>Table2[[#This Row],[Units_Damaged]]/Table2[[#This Row],[Units_Shipped]]</f>
        <v>1.0309278350515464E-2</v>
      </c>
      <c r="AB65">
        <f t="shared" si="2"/>
        <v>64243</v>
      </c>
      <c r="AC65" s="17">
        <f t="shared" si="3"/>
        <v>4.1313852934953654E-2</v>
      </c>
    </row>
    <row r="66" spans="1:29" x14ac:dyDescent="0.25">
      <c r="A66" t="s">
        <v>138</v>
      </c>
      <c r="B66" s="1">
        <v>46182</v>
      </c>
      <c r="C66" s="1">
        <v>46121</v>
      </c>
      <c r="D66" t="s">
        <v>35</v>
      </c>
      <c r="E66" t="s">
        <v>52</v>
      </c>
      <c r="F66" t="s">
        <v>46</v>
      </c>
      <c r="G66" t="s">
        <v>54</v>
      </c>
      <c r="H66" t="s">
        <v>55</v>
      </c>
      <c r="I66" t="s">
        <v>30</v>
      </c>
      <c r="J66" t="s">
        <v>31</v>
      </c>
      <c r="K66" s="14" t="str">
        <f t="shared" si="0"/>
        <v>Rivers → Kwara</v>
      </c>
      <c r="L66" t="s">
        <v>41</v>
      </c>
      <c r="M66">
        <v>44</v>
      </c>
      <c r="N66">
        <v>43</v>
      </c>
      <c r="O66">
        <v>1</v>
      </c>
      <c r="P66">
        <v>319</v>
      </c>
      <c r="Q66" s="14" t="str">
        <f t="shared" si="1"/>
        <v>251–500 km</v>
      </c>
      <c r="R66" s="14" t="str">
        <f>IF(Table2[[#This Row],[Distance Bands]]="0–100 km","Short",
IF(Table2[[#This Row],[Distance Bands]]="101–250 km","Medium",
IF(Table2[[#This Row],[Distance Bands]]="251–500 km","Long",
IF(Table2[[#This Row],[Distance Bands]]="501–1,000 km","Very Long",
"Extreme"))))</f>
        <v>Long</v>
      </c>
      <c r="S66" s="13">
        <f>Table2[[#This Row],[Freight_Cost_NGN]]/Table2[[#This Row],[Distance_km]]</f>
        <v>1906.344827586207</v>
      </c>
      <c r="T66">
        <v>6</v>
      </c>
      <c r="U66">
        <v>6</v>
      </c>
      <c r="V66" s="14">
        <f>Table2[[#This Row],[Actual_Transit_Days]]-Table2[[#This Row],[Planned_Transit_Days]]</f>
        <v>0</v>
      </c>
      <c r="W66">
        <v>608124</v>
      </c>
      <c r="X66">
        <v>635380</v>
      </c>
      <c r="Y66" t="s">
        <v>42</v>
      </c>
      <c r="Z66" s="14">
        <f>IF(Table2[[#This Row],[Delivery_Date]]&lt;=Table2[[#This Row],[Planned_Date]],1,0)</f>
        <v>1</v>
      </c>
      <c r="AA66" s="18">
        <f>Table2[[#This Row],[Units_Damaged]]/Table2[[#This Row],[Units_Shipped]]</f>
        <v>2.2727272727272728E-2</v>
      </c>
      <c r="AB66">
        <f t="shared" si="2"/>
        <v>-27256</v>
      </c>
      <c r="AC66" s="17">
        <f t="shared" si="3"/>
        <v>-4.289716390191696E-2</v>
      </c>
    </row>
    <row r="67" spans="1:29" x14ac:dyDescent="0.25">
      <c r="A67" t="s">
        <v>139</v>
      </c>
      <c r="B67" s="1">
        <v>46183</v>
      </c>
      <c r="C67" s="1">
        <v>46229</v>
      </c>
      <c r="D67" t="s">
        <v>62</v>
      </c>
      <c r="E67" t="s">
        <v>52</v>
      </c>
      <c r="F67" t="s">
        <v>53</v>
      </c>
      <c r="G67" t="s">
        <v>72</v>
      </c>
      <c r="H67" t="s">
        <v>72</v>
      </c>
      <c r="I67" t="s">
        <v>47</v>
      </c>
      <c r="J67" t="s">
        <v>48</v>
      </c>
      <c r="K67" s="14" t="str">
        <f t="shared" ref="K67:K130" si="4">H67&amp;" → "&amp;J67</f>
        <v>Lagos → Cross River</v>
      </c>
      <c r="L67" t="s">
        <v>32</v>
      </c>
      <c r="M67">
        <v>43</v>
      </c>
      <c r="N67">
        <v>43</v>
      </c>
      <c r="O67">
        <v>0</v>
      </c>
      <c r="P67">
        <v>222</v>
      </c>
      <c r="Q67" s="14" t="str">
        <f t="shared" ref="Q67:Q130" si="5">IF(P67&lt;=100,"0–100 km",
IF(P67&lt;=250,"101–250 km",
IF(P67&lt;=500,"251–500 km",
IF(P67&lt;=1000,"501–1,000 km",
"1,000+ km"))))</f>
        <v>101–250 km</v>
      </c>
      <c r="R67" s="14" t="str">
        <f>IF(Table2[[#This Row],[Distance Bands]]="0–100 km","Short",
IF(Table2[[#This Row],[Distance Bands]]="101–250 km","Medium",
IF(Table2[[#This Row],[Distance Bands]]="251–500 km","Long",
IF(Table2[[#This Row],[Distance Bands]]="501–1,000 km","Very Long",
"Extreme"))))</f>
        <v>Medium</v>
      </c>
      <c r="S67" s="13">
        <f>Table2[[#This Row],[Freight_Cost_NGN]]/Table2[[#This Row],[Distance_km]]</f>
        <v>2204.265765765766</v>
      </c>
      <c r="T67">
        <v>4</v>
      </c>
      <c r="U67">
        <v>9</v>
      </c>
      <c r="V67" s="14">
        <f>Table2[[#This Row],[Actual_Transit_Days]]-Table2[[#This Row],[Planned_Transit_Days]]</f>
        <v>5</v>
      </c>
      <c r="W67">
        <v>489347</v>
      </c>
      <c r="X67">
        <v>511632</v>
      </c>
      <c r="Y67" t="s">
        <v>75</v>
      </c>
      <c r="Z67" s="14">
        <f>IF(Table2[[#This Row],[Delivery_Date]]&lt;=Table2[[#This Row],[Planned_Date]],1,0)</f>
        <v>0</v>
      </c>
      <c r="AA67" s="18">
        <f>Table2[[#This Row],[Units_Damaged]]/Table2[[#This Row],[Units_Shipped]]</f>
        <v>0</v>
      </c>
      <c r="AB67">
        <f t="shared" si="2"/>
        <v>-22285</v>
      </c>
      <c r="AC67" s="17">
        <f t="shared" si="3"/>
        <v>-4.3556697000969445E-2</v>
      </c>
    </row>
    <row r="68" spans="1:29" x14ac:dyDescent="0.25">
      <c r="A68" t="s">
        <v>140</v>
      </c>
      <c r="B68" s="1">
        <v>46184</v>
      </c>
      <c r="C68" s="1">
        <v>46186</v>
      </c>
      <c r="D68" t="s">
        <v>44</v>
      </c>
      <c r="E68" t="s">
        <v>27</v>
      </c>
      <c r="F68" t="s">
        <v>37</v>
      </c>
      <c r="G68" t="s">
        <v>54</v>
      </c>
      <c r="H68" t="s">
        <v>55</v>
      </c>
      <c r="I68" t="s">
        <v>29</v>
      </c>
      <c r="J68" t="s">
        <v>29</v>
      </c>
      <c r="K68" s="14" t="str">
        <f t="shared" si="4"/>
        <v>Rivers → Kaduna</v>
      </c>
      <c r="L68" t="s">
        <v>41</v>
      </c>
      <c r="M68">
        <v>101</v>
      </c>
      <c r="N68">
        <v>100</v>
      </c>
      <c r="O68">
        <v>1</v>
      </c>
      <c r="P68">
        <v>435</v>
      </c>
      <c r="Q68" s="14" t="str">
        <f t="shared" si="5"/>
        <v>251–500 km</v>
      </c>
      <c r="R68" s="14" t="str">
        <f>IF(Table2[[#This Row],[Distance Bands]]="0–100 km","Short",
IF(Table2[[#This Row],[Distance Bands]]="101–250 km","Medium",
IF(Table2[[#This Row],[Distance Bands]]="251–500 km","Long",
IF(Table2[[#This Row],[Distance Bands]]="501–1,000 km","Very Long",
"Extreme"))))</f>
        <v>Long</v>
      </c>
      <c r="S68" s="13">
        <f>Table2[[#This Row],[Freight_Cost_NGN]]/Table2[[#This Row],[Distance_km]]</f>
        <v>1703.4022988505747</v>
      </c>
      <c r="T68">
        <v>5</v>
      </c>
      <c r="U68">
        <v>5</v>
      </c>
      <c r="V68" s="14">
        <f>Table2[[#This Row],[Actual_Transit_Days]]-Table2[[#This Row],[Planned_Transit_Days]]</f>
        <v>0</v>
      </c>
      <c r="W68">
        <v>740980</v>
      </c>
      <c r="X68">
        <v>686670</v>
      </c>
      <c r="Y68" t="s">
        <v>42</v>
      </c>
      <c r="Z68" s="14">
        <f>IF(Table2[[#This Row],[Delivery_Date]]&lt;=Table2[[#This Row],[Planned_Date]],1,0)</f>
        <v>0</v>
      </c>
      <c r="AA68" s="18">
        <f>Table2[[#This Row],[Units_Damaged]]/Table2[[#This Row],[Units_Shipped]]</f>
        <v>9.9009900990099011E-3</v>
      </c>
      <c r="AB68">
        <f t="shared" ref="AB68:AB131" si="6">W68-X68</f>
        <v>54310</v>
      </c>
      <c r="AC68" s="17">
        <f t="shared" ref="AC68:AC131" si="7">AB68/X68</f>
        <v>7.9091849068693848E-2</v>
      </c>
    </row>
    <row r="69" spans="1:29" x14ac:dyDescent="0.25">
      <c r="A69" t="s">
        <v>141</v>
      </c>
      <c r="B69" s="1">
        <v>46185</v>
      </c>
      <c r="C69" s="1">
        <v>46149</v>
      </c>
      <c r="D69" t="s">
        <v>44</v>
      </c>
      <c r="E69" t="s">
        <v>36</v>
      </c>
      <c r="F69" t="s">
        <v>37</v>
      </c>
      <c r="G69" t="s">
        <v>49</v>
      </c>
      <c r="H69" t="s">
        <v>50</v>
      </c>
      <c r="I69" t="s">
        <v>72</v>
      </c>
      <c r="J69" t="s">
        <v>72</v>
      </c>
      <c r="K69" s="14" t="str">
        <f t="shared" si="4"/>
        <v>Niger → Lagos</v>
      </c>
      <c r="L69" t="s">
        <v>32</v>
      </c>
      <c r="M69">
        <v>113</v>
      </c>
      <c r="N69">
        <v>112</v>
      </c>
      <c r="O69">
        <v>1</v>
      </c>
      <c r="P69">
        <v>240</v>
      </c>
      <c r="Q69" s="14" t="str">
        <f t="shared" si="5"/>
        <v>101–250 km</v>
      </c>
      <c r="R69" s="14" t="str">
        <f>IF(Table2[[#This Row],[Distance Bands]]="0–100 km","Short",
IF(Table2[[#This Row],[Distance Bands]]="101–250 km","Medium",
IF(Table2[[#This Row],[Distance Bands]]="251–500 km","Long",
IF(Table2[[#This Row],[Distance Bands]]="501–1,000 km","Very Long",
"Extreme"))))</f>
        <v>Medium</v>
      </c>
      <c r="S69" s="13">
        <f>Table2[[#This Row],[Freight_Cost_NGN]]/Table2[[#This Row],[Distance_km]]</f>
        <v>5984.9125000000004</v>
      </c>
      <c r="T69">
        <v>5</v>
      </c>
      <c r="U69">
        <v>5</v>
      </c>
      <c r="V69" s="14">
        <f>Table2[[#This Row],[Actual_Transit_Days]]-Table2[[#This Row],[Planned_Transit_Days]]</f>
        <v>0</v>
      </c>
      <c r="W69">
        <v>1436379</v>
      </c>
      <c r="X69">
        <v>1550512</v>
      </c>
      <c r="Y69" t="s">
        <v>42</v>
      </c>
      <c r="Z69" s="14">
        <f>IF(Table2[[#This Row],[Delivery_Date]]&lt;=Table2[[#This Row],[Planned_Date]],1,0)</f>
        <v>1</v>
      </c>
      <c r="AA69" s="18">
        <f>Table2[[#This Row],[Units_Damaged]]/Table2[[#This Row],[Units_Shipped]]</f>
        <v>8.8495575221238937E-3</v>
      </c>
      <c r="AB69">
        <f t="shared" si="6"/>
        <v>-114133</v>
      </c>
      <c r="AC69" s="17">
        <f t="shared" si="7"/>
        <v>-7.3609878543345678E-2</v>
      </c>
    </row>
    <row r="70" spans="1:29" x14ac:dyDescent="0.25">
      <c r="A70" t="s">
        <v>142</v>
      </c>
      <c r="B70" s="1">
        <v>46186</v>
      </c>
      <c r="C70" s="1">
        <v>46068</v>
      </c>
      <c r="D70" t="s">
        <v>44</v>
      </c>
      <c r="E70" t="s">
        <v>27</v>
      </c>
      <c r="F70" t="s">
        <v>28</v>
      </c>
      <c r="G70" t="s">
        <v>73</v>
      </c>
      <c r="H70" t="s">
        <v>74</v>
      </c>
      <c r="I70" t="s">
        <v>30</v>
      </c>
      <c r="J70" t="s">
        <v>31</v>
      </c>
      <c r="K70" s="14" t="str">
        <f t="shared" si="4"/>
        <v>Oyo → Kwara</v>
      </c>
      <c r="L70" t="s">
        <v>41</v>
      </c>
      <c r="M70">
        <v>152</v>
      </c>
      <c r="N70">
        <v>150</v>
      </c>
      <c r="O70">
        <v>2</v>
      </c>
      <c r="P70">
        <v>35</v>
      </c>
      <c r="Q70" s="14" t="str">
        <f t="shared" si="5"/>
        <v>0–100 km</v>
      </c>
      <c r="R70" s="14" t="str">
        <f>IF(Table2[[#This Row],[Distance Bands]]="0–100 km","Short",
IF(Table2[[#This Row],[Distance Bands]]="101–250 km","Medium",
IF(Table2[[#This Row],[Distance Bands]]="251–500 km","Long",
IF(Table2[[#This Row],[Distance Bands]]="501–1,000 km","Very Long",
"Extreme"))))</f>
        <v>Short</v>
      </c>
      <c r="S70" s="13">
        <f>Table2[[#This Row],[Freight_Cost_NGN]]/Table2[[#This Row],[Distance_km]]</f>
        <v>46772.914285714287</v>
      </c>
      <c r="T70">
        <v>5</v>
      </c>
      <c r="U70">
        <v>6</v>
      </c>
      <c r="V70" s="14">
        <f>Table2[[#This Row],[Actual_Transit_Days]]-Table2[[#This Row],[Planned_Transit_Days]]</f>
        <v>1</v>
      </c>
      <c r="W70">
        <v>1637052</v>
      </c>
      <c r="X70">
        <v>1600358</v>
      </c>
      <c r="Y70" t="s">
        <v>33</v>
      </c>
      <c r="Z70" s="14">
        <f>IF(Table2[[#This Row],[Delivery_Date]]&lt;=Table2[[#This Row],[Planned_Date]],1,0)</f>
        <v>1</v>
      </c>
      <c r="AA70" s="18">
        <f>Table2[[#This Row],[Units_Damaged]]/Table2[[#This Row],[Units_Shipped]]</f>
        <v>1.3157894736842105E-2</v>
      </c>
      <c r="AB70">
        <f t="shared" si="6"/>
        <v>36694</v>
      </c>
      <c r="AC70" s="17">
        <f t="shared" si="7"/>
        <v>2.2928619721337352E-2</v>
      </c>
    </row>
    <row r="71" spans="1:29" x14ac:dyDescent="0.25">
      <c r="A71" t="s">
        <v>143</v>
      </c>
      <c r="B71" s="1">
        <v>46187</v>
      </c>
      <c r="C71" s="1">
        <v>46143</v>
      </c>
      <c r="D71" t="s">
        <v>57</v>
      </c>
      <c r="E71" t="s">
        <v>27</v>
      </c>
      <c r="F71" t="s">
        <v>46</v>
      </c>
      <c r="G71" t="s">
        <v>64</v>
      </c>
      <c r="H71" t="s">
        <v>65</v>
      </c>
      <c r="I71" t="s">
        <v>72</v>
      </c>
      <c r="J71" t="s">
        <v>72</v>
      </c>
      <c r="K71" s="14" t="str">
        <f t="shared" si="4"/>
        <v>Plateau → Lagos</v>
      </c>
      <c r="L71" t="s">
        <v>41</v>
      </c>
      <c r="M71">
        <v>104</v>
      </c>
      <c r="N71">
        <v>103</v>
      </c>
      <c r="O71">
        <v>1</v>
      </c>
      <c r="P71">
        <v>348</v>
      </c>
      <c r="Q71" s="14" t="str">
        <f t="shared" si="5"/>
        <v>251–500 km</v>
      </c>
      <c r="R71" s="14" t="str">
        <f>IF(Table2[[#This Row],[Distance Bands]]="0–100 km","Short",
IF(Table2[[#This Row],[Distance Bands]]="101–250 km","Medium",
IF(Table2[[#This Row],[Distance Bands]]="251–500 km","Long",
IF(Table2[[#This Row],[Distance Bands]]="501–1,000 km","Very Long",
"Extreme"))))</f>
        <v>Long</v>
      </c>
      <c r="S71" s="13">
        <f>Table2[[#This Row],[Freight_Cost_NGN]]/Table2[[#This Row],[Distance_km]]</f>
        <v>2980.1724137931033</v>
      </c>
      <c r="T71">
        <v>5</v>
      </c>
      <c r="U71">
        <v>6</v>
      </c>
      <c r="V71" s="14">
        <f>Table2[[#This Row],[Actual_Transit_Days]]-Table2[[#This Row],[Planned_Transit_Days]]</f>
        <v>1</v>
      </c>
      <c r="W71">
        <v>1037100</v>
      </c>
      <c r="X71">
        <v>1089238</v>
      </c>
      <c r="Y71" t="s">
        <v>33</v>
      </c>
      <c r="Z71" s="14">
        <f>IF(Table2[[#This Row],[Delivery_Date]]&lt;=Table2[[#This Row],[Planned_Date]],1,0)</f>
        <v>1</v>
      </c>
      <c r="AA71" s="18">
        <f>Table2[[#This Row],[Units_Damaged]]/Table2[[#This Row],[Units_Shipped]]</f>
        <v>9.6153846153846159E-3</v>
      </c>
      <c r="AB71">
        <f t="shared" si="6"/>
        <v>-52138</v>
      </c>
      <c r="AC71" s="17">
        <f t="shared" si="7"/>
        <v>-4.7866490151830914E-2</v>
      </c>
    </row>
    <row r="72" spans="1:29" x14ac:dyDescent="0.25">
      <c r="A72" t="s">
        <v>144</v>
      </c>
      <c r="B72" s="1">
        <v>46188</v>
      </c>
      <c r="C72" s="1">
        <v>46179</v>
      </c>
      <c r="D72" t="s">
        <v>57</v>
      </c>
      <c r="E72" t="s">
        <v>85</v>
      </c>
      <c r="F72" t="s">
        <v>63</v>
      </c>
      <c r="G72" t="s">
        <v>91</v>
      </c>
      <c r="H72" t="s">
        <v>92</v>
      </c>
      <c r="I72" t="s">
        <v>80</v>
      </c>
      <c r="J72" t="s">
        <v>80</v>
      </c>
      <c r="K72" s="14" t="str">
        <f t="shared" si="4"/>
        <v>Delta → Enugu</v>
      </c>
      <c r="L72" t="s">
        <v>41</v>
      </c>
      <c r="M72">
        <v>94</v>
      </c>
      <c r="N72">
        <v>91</v>
      </c>
      <c r="O72">
        <v>3</v>
      </c>
      <c r="P72">
        <v>646</v>
      </c>
      <c r="Q72" s="14" t="str">
        <f t="shared" si="5"/>
        <v>501–1,000 km</v>
      </c>
      <c r="R72" s="14" t="str">
        <f>IF(Table2[[#This Row],[Distance Bands]]="0–100 km","Short",
IF(Table2[[#This Row],[Distance Bands]]="101–250 km","Medium",
IF(Table2[[#This Row],[Distance Bands]]="251–500 km","Long",
IF(Table2[[#This Row],[Distance Bands]]="501–1,000 km","Very Long",
"Extreme"))))</f>
        <v>Very Long</v>
      </c>
      <c r="S72" s="13">
        <f>Table2[[#This Row],[Freight_Cost_NGN]]/Table2[[#This Row],[Distance_km]]</f>
        <v>2484.1640866873063</v>
      </c>
      <c r="T72">
        <v>2</v>
      </c>
      <c r="U72">
        <v>2</v>
      </c>
      <c r="V72" s="14">
        <f>Table2[[#This Row],[Actual_Transit_Days]]-Table2[[#This Row],[Planned_Transit_Days]]</f>
        <v>0</v>
      </c>
      <c r="W72">
        <v>1604770</v>
      </c>
      <c r="X72">
        <v>1582992</v>
      </c>
      <c r="Y72" t="s">
        <v>42</v>
      </c>
      <c r="Z72" s="14">
        <f>IF(Table2[[#This Row],[Delivery_Date]]&lt;=Table2[[#This Row],[Planned_Date]],1,0)</f>
        <v>1</v>
      </c>
      <c r="AA72" s="18">
        <f>Table2[[#This Row],[Units_Damaged]]/Table2[[#This Row],[Units_Shipped]]</f>
        <v>3.1914893617021274E-2</v>
      </c>
      <c r="AB72">
        <f t="shared" si="6"/>
        <v>21778</v>
      </c>
      <c r="AC72" s="17">
        <f t="shared" si="7"/>
        <v>1.375749214146376E-2</v>
      </c>
    </row>
    <row r="73" spans="1:29" x14ac:dyDescent="0.25">
      <c r="A73" t="s">
        <v>145</v>
      </c>
      <c r="B73" s="1">
        <v>46189</v>
      </c>
      <c r="C73" s="1">
        <v>46085</v>
      </c>
      <c r="D73" t="s">
        <v>57</v>
      </c>
      <c r="E73" t="s">
        <v>36</v>
      </c>
      <c r="F73" t="s">
        <v>53</v>
      </c>
      <c r="G73" t="s">
        <v>47</v>
      </c>
      <c r="H73" t="s">
        <v>48</v>
      </c>
      <c r="I73" t="s">
        <v>64</v>
      </c>
      <c r="J73" t="s">
        <v>65</v>
      </c>
      <c r="K73" s="14" t="str">
        <f t="shared" si="4"/>
        <v>Cross River → Plateau</v>
      </c>
      <c r="L73" t="s">
        <v>32</v>
      </c>
      <c r="M73">
        <v>121</v>
      </c>
      <c r="N73">
        <v>121</v>
      </c>
      <c r="O73">
        <v>0</v>
      </c>
      <c r="P73">
        <v>690</v>
      </c>
      <c r="Q73" s="14" t="str">
        <f t="shared" si="5"/>
        <v>501–1,000 km</v>
      </c>
      <c r="R73" s="14" t="str">
        <f>IF(Table2[[#This Row],[Distance Bands]]="0–100 km","Short",
IF(Table2[[#This Row],[Distance Bands]]="101–250 km","Medium",
IF(Table2[[#This Row],[Distance Bands]]="251–500 km","Long",
IF(Table2[[#This Row],[Distance Bands]]="501–1,000 km","Very Long",
"Extreme"))))</f>
        <v>Very Long</v>
      </c>
      <c r="S73" s="13">
        <f>Table2[[#This Row],[Freight_Cost_NGN]]/Table2[[#This Row],[Distance_km]]</f>
        <v>2398.768115942029</v>
      </c>
      <c r="T73">
        <v>3</v>
      </c>
      <c r="U73">
        <v>6</v>
      </c>
      <c r="V73" s="14">
        <f>Table2[[#This Row],[Actual_Transit_Days]]-Table2[[#This Row],[Planned_Transit_Days]]</f>
        <v>3</v>
      </c>
      <c r="W73">
        <v>1655150</v>
      </c>
      <c r="X73">
        <v>1659951</v>
      </c>
      <c r="Y73" t="s">
        <v>33</v>
      </c>
      <c r="Z73" s="14">
        <f>IF(Table2[[#This Row],[Delivery_Date]]&lt;=Table2[[#This Row],[Planned_Date]],1,0)</f>
        <v>1</v>
      </c>
      <c r="AA73" s="18">
        <f>Table2[[#This Row],[Units_Damaged]]/Table2[[#This Row],[Units_Shipped]]</f>
        <v>0</v>
      </c>
      <c r="AB73">
        <f t="shared" si="6"/>
        <v>-4801</v>
      </c>
      <c r="AC73" s="17">
        <f t="shared" si="7"/>
        <v>-2.8922540484628764E-3</v>
      </c>
    </row>
    <row r="74" spans="1:29" x14ac:dyDescent="0.25">
      <c r="A74" t="s">
        <v>146</v>
      </c>
      <c r="B74" s="1">
        <v>46190</v>
      </c>
      <c r="C74" s="1">
        <v>46211</v>
      </c>
      <c r="D74" t="s">
        <v>77</v>
      </c>
      <c r="E74" t="s">
        <v>67</v>
      </c>
      <c r="F74" t="s">
        <v>63</v>
      </c>
      <c r="G74" t="s">
        <v>80</v>
      </c>
      <c r="H74" t="s">
        <v>80</v>
      </c>
      <c r="I74" t="s">
        <v>73</v>
      </c>
      <c r="J74" t="s">
        <v>74</v>
      </c>
      <c r="K74" s="14" t="str">
        <f t="shared" si="4"/>
        <v>Enugu → Oyo</v>
      </c>
      <c r="L74" t="s">
        <v>41</v>
      </c>
      <c r="M74">
        <v>92</v>
      </c>
      <c r="N74">
        <v>92</v>
      </c>
      <c r="O74">
        <v>0</v>
      </c>
      <c r="P74">
        <v>185</v>
      </c>
      <c r="Q74" s="14" t="str">
        <f t="shared" si="5"/>
        <v>101–250 km</v>
      </c>
      <c r="R74" s="14" t="str">
        <f>IF(Table2[[#This Row],[Distance Bands]]="0–100 km","Short",
IF(Table2[[#This Row],[Distance Bands]]="101–250 km","Medium",
IF(Table2[[#This Row],[Distance Bands]]="251–500 km","Long",
IF(Table2[[#This Row],[Distance Bands]]="501–1,000 km","Very Long",
"Extreme"))))</f>
        <v>Medium</v>
      </c>
      <c r="S74" s="13">
        <f>Table2[[#This Row],[Freight_Cost_NGN]]/Table2[[#This Row],[Distance_km]]</f>
        <v>5814.7567567567567</v>
      </c>
      <c r="T74">
        <v>2</v>
      </c>
      <c r="U74">
        <v>3</v>
      </c>
      <c r="V74" s="14">
        <f>Table2[[#This Row],[Actual_Transit_Days]]-Table2[[#This Row],[Planned_Transit_Days]]</f>
        <v>1</v>
      </c>
      <c r="W74">
        <v>1075730</v>
      </c>
      <c r="X74">
        <v>1114582</v>
      </c>
      <c r="Y74" t="s">
        <v>33</v>
      </c>
      <c r="Z74" s="14">
        <f>IF(Table2[[#This Row],[Delivery_Date]]&lt;=Table2[[#This Row],[Planned_Date]],1,0)</f>
        <v>0</v>
      </c>
      <c r="AA74" s="18">
        <f>Table2[[#This Row],[Units_Damaged]]/Table2[[#This Row],[Units_Shipped]]</f>
        <v>0</v>
      </c>
      <c r="AB74">
        <f t="shared" si="6"/>
        <v>-38852</v>
      </c>
      <c r="AC74" s="17">
        <f t="shared" si="7"/>
        <v>-3.4857910858061586E-2</v>
      </c>
    </row>
    <row r="75" spans="1:29" x14ac:dyDescent="0.25">
      <c r="A75" t="s">
        <v>147</v>
      </c>
      <c r="B75" s="1">
        <v>46191</v>
      </c>
      <c r="C75" s="1">
        <v>46114</v>
      </c>
      <c r="D75" t="s">
        <v>57</v>
      </c>
      <c r="E75" t="s">
        <v>36</v>
      </c>
      <c r="F75" t="s">
        <v>37</v>
      </c>
      <c r="G75" t="s">
        <v>72</v>
      </c>
      <c r="H75" t="s">
        <v>72</v>
      </c>
      <c r="I75" t="s">
        <v>29</v>
      </c>
      <c r="J75" t="s">
        <v>29</v>
      </c>
      <c r="K75" s="14" t="str">
        <f t="shared" si="4"/>
        <v>Lagos → Kaduna</v>
      </c>
      <c r="L75" t="s">
        <v>41</v>
      </c>
      <c r="M75">
        <v>122</v>
      </c>
      <c r="N75">
        <v>122</v>
      </c>
      <c r="O75">
        <v>0</v>
      </c>
      <c r="P75">
        <v>366</v>
      </c>
      <c r="Q75" s="14" t="str">
        <f t="shared" si="5"/>
        <v>251–500 km</v>
      </c>
      <c r="R75" s="14" t="str">
        <f>IF(Table2[[#This Row],[Distance Bands]]="0–100 km","Short",
IF(Table2[[#This Row],[Distance Bands]]="101–250 km","Medium",
IF(Table2[[#This Row],[Distance Bands]]="251–500 km","Long",
IF(Table2[[#This Row],[Distance Bands]]="501–1,000 km","Very Long",
"Extreme"))))</f>
        <v>Long</v>
      </c>
      <c r="S75" s="13">
        <f>Table2[[#This Row],[Freight_Cost_NGN]]/Table2[[#This Row],[Distance_km]]</f>
        <v>3565.3333333333335</v>
      </c>
      <c r="T75">
        <v>7</v>
      </c>
      <c r="U75">
        <v>7</v>
      </c>
      <c r="V75" s="14">
        <f>Table2[[#This Row],[Actual_Transit_Days]]-Table2[[#This Row],[Planned_Transit_Days]]</f>
        <v>0</v>
      </c>
      <c r="W75">
        <v>1304912</v>
      </c>
      <c r="X75">
        <v>1248660</v>
      </c>
      <c r="Y75" t="s">
        <v>42</v>
      </c>
      <c r="Z75" s="14">
        <f>IF(Table2[[#This Row],[Delivery_Date]]&lt;=Table2[[#This Row],[Planned_Date]],1,0)</f>
        <v>1</v>
      </c>
      <c r="AA75" s="18">
        <f>Table2[[#This Row],[Units_Damaged]]/Table2[[#This Row],[Units_Shipped]]</f>
        <v>0</v>
      </c>
      <c r="AB75">
        <f t="shared" si="6"/>
        <v>56252</v>
      </c>
      <c r="AC75" s="17">
        <f t="shared" si="7"/>
        <v>4.5049893485816797E-2</v>
      </c>
    </row>
    <row r="76" spans="1:29" x14ac:dyDescent="0.25">
      <c r="A76" t="s">
        <v>148</v>
      </c>
      <c r="B76" s="1">
        <v>46192</v>
      </c>
      <c r="C76" s="1">
        <v>46076</v>
      </c>
      <c r="D76" t="s">
        <v>26</v>
      </c>
      <c r="E76" t="s">
        <v>45</v>
      </c>
      <c r="F76" t="s">
        <v>46</v>
      </c>
      <c r="G76" t="s">
        <v>54</v>
      </c>
      <c r="H76" t="s">
        <v>55</v>
      </c>
      <c r="I76" t="s">
        <v>68</v>
      </c>
      <c r="J76" t="s">
        <v>69</v>
      </c>
      <c r="K76" s="14" t="str">
        <f t="shared" si="4"/>
        <v>Rivers → Abia</v>
      </c>
      <c r="L76" t="s">
        <v>41</v>
      </c>
      <c r="M76">
        <v>23</v>
      </c>
      <c r="N76">
        <v>23</v>
      </c>
      <c r="O76">
        <v>0</v>
      </c>
      <c r="P76">
        <v>42</v>
      </c>
      <c r="Q76" s="14" t="str">
        <f t="shared" si="5"/>
        <v>0–100 km</v>
      </c>
      <c r="R76" s="14" t="str">
        <f>IF(Table2[[#This Row],[Distance Bands]]="0–100 km","Short",
IF(Table2[[#This Row],[Distance Bands]]="101–250 km","Medium",
IF(Table2[[#This Row],[Distance Bands]]="251–500 km","Long",
IF(Table2[[#This Row],[Distance Bands]]="501–1,000 km","Very Long",
"Extreme"))))</f>
        <v>Short</v>
      </c>
      <c r="S76" s="13">
        <f>Table2[[#This Row],[Freight_Cost_NGN]]/Table2[[#This Row],[Distance_km]]</f>
        <v>3111.8571428571427</v>
      </c>
      <c r="T76">
        <v>1</v>
      </c>
      <c r="U76">
        <v>1</v>
      </c>
      <c r="V76" s="14">
        <f>Table2[[#This Row],[Actual_Transit_Days]]-Table2[[#This Row],[Planned_Transit_Days]]</f>
        <v>0</v>
      </c>
      <c r="W76">
        <v>130698</v>
      </c>
      <c r="X76">
        <v>138907</v>
      </c>
      <c r="Y76" t="s">
        <v>42</v>
      </c>
      <c r="Z76" s="14">
        <f>IF(Table2[[#This Row],[Delivery_Date]]&lt;=Table2[[#This Row],[Planned_Date]],1,0)</f>
        <v>1</v>
      </c>
      <c r="AA76" s="18">
        <f>Table2[[#This Row],[Units_Damaged]]/Table2[[#This Row],[Units_Shipped]]</f>
        <v>0</v>
      </c>
      <c r="AB76">
        <f t="shared" si="6"/>
        <v>-8209</v>
      </c>
      <c r="AC76" s="17">
        <f t="shared" si="7"/>
        <v>-5.9097093738976439E-2</v>
      </c>
    </row>
    <row r="77" spans="1:29" x14ac:dyDescent="0.25">
      <c r="A77" t="s">
        <v>149</v>
      </c>
      <c r="B77" s="1">
        <v>46193</v>
      </c>
      <c r="C77" s="1">
        <v>46197</v>
      </c>
      <c r="D77" t="s">
        <v>77</v>
      </c>
      <c r="E77" t="s">
        <v>85</v>
      </c>
      <c r="F77" t="s">
        <v>28</v>
      </c>
      <c r="G77" t="s">
        <v>58</v>
      </c>
      <c r="H77" t="s">
        <v>59</v>
      </c>
      <c r="I77" t="s">
        <v>54</v>
      </c>
      <c r="J77" t="s">
        <v>55</v>
      </c>
      <c r="K77" s="14" t="str">
        <f t="shared" si="4"/>
        <v>Ogun → Rivers</v>
      </c>
      <c r="L77" t="s">
        <v>41</v>
      </c>
      <c r="M77">
        <v>12</v>
      </c>
      <c r="N77">
        <v>12</v>
      </c>
      <c r="O77">
        <v>0</v>
      </c>
      <c r="P77">
        <v>79</v>
      </c>
      <c r="Q77" s="14" t="str">
        <f t="shared" si="5"/>
        <v>0–100 km</v>
      </c>
      <c r="R77" s="14" t="str">
        <f>IF(Table2[[#This Row],[Distance Bands]]="0–100 km","Short",
IF(Table2[[#This Row],[Distance Bands]]="101–250 km","Medium",
IF(Table2[[#This Row],[Distance Bands]]="251–500 km","Long",
IF(Table2[[#This Row],[Distance Bands]]="501–1,000 km","Very Long",
"Extreme"))))</f>
        <v>Short</v>
      </c>
      <c r="S77" s="13">
        <f>Table2[[#This Row],[Freight_Cost_NGN]]/Table2[[#This Row],[Distance_km]]</f>
        <v>2184.506329113924</v>
      </c>
      <c r="T77">
        <v>5</v>
      </c>
      <c r="U77">
        <v>5</v>
      </c>
      <c r="V77" s="14">
        <f>Table2[[#This Row],[Actual_Transit_Days]]-Table2[[#This Row],[Planned_Transit_Days]]</f>
        <v>0</v>
      </c>
      <c r="W77">
        <v>172576</v>
      </c>
      <c r="X77">
        <v>171654</v>
      </c>
      <c r="Y77" t="s">
        <v>42</v>
      </c>
      <c r="Z77" s="14">
        <f>IF(Table2[[#This Row],[Delivery_Date]]&lt;=Table2[[#This Row],[Planned_Date]],1,0)</f>
        <v>0</v>
      </c>
      <c r="AA77" s="18">
        <f>Table2[[#This Row],[Units_Damaged]]/Table2[[#This Row],[Units_Shipped]]</f>
        <v>0</v>
      </c>
      <c r="AB77">
        <f t="shared" si="6"/>
        <v>922</v>
      </c>
      <c r="AC77" s="17">
        <f t="shared" si="7"/>
        <v>5.3712701131345617E-3</v>
      </c>
    </row>
    <row r="78" spans="1:29" x14ac:dyDescent="0.25">
      <c r="A78" t="s">
        <v>150</v>
      </c>
      <c r="B78" s="1">
        <v>46194</v>
      </c>
      <c r="C78" s="1">
        <v>46035</v>
      </c>
      <c r="D78" t="s">
        <v>44</v>
      </c>
      <c r="E78" t="s">
        <v>36</v>
      </c>
      <c r="F78" t="s">
        <v>37</v>
      </c>
      <c r="G78" t="s">
        <v>29</v>
      </c>
      <c r="H78" t="s">
        <v>29</v>
      </c>
      <c r="I78" t="s">
        <v>68</v>
      </c>
      <c r="J78" t="s">
        <v>69</v>
      </c>
      <c r="K78" s="14" t="str">
        <f t="shared" si="4"/>
        <v>Kaduna → Abia</v>
      </c>
      <c r="L78" t="s">
        <v>32</v>
      </c>
      <c r="M78">
        <v>76</v>
      </c>
      <c r="N78">
        <v>76</v>
      </c>
      <c r="O78">
        <v>0</v>
      </c>
      <c r="P78">
        <v>78</v>
      </c>
      <c r="Q78" s="14" t="str">
        <f t="shared" si="5"/>
        <v>0–100 km</v>
      </c>
      <c r="R78" s="14" t="str">
        <f>IF(Table2[[#This Row],[Distance Bands]]="0–100 km","Short",
IF(Table2[[#This Row],[Distance Bands]]="101–250 km","Medium",
IF(Table2[[#This Row],[Distance Bands]]="251–500 km","Long",
IF(Table2[[#This Row],[Distance Bands]]="501–1,000 km","Very Long",
"Extreme"))))</f>
        <v>Short</v>
      </c>
      <c r="S78" s="13">
        <f>Table2[[#This Row],[Freight_Cost_NGN]]/Table2[[#This Row],[Distance_km]]</f>
        <v>7987.7435897435898</v>
      </c>
      <c r="T78">
        <v>1</v>
      </c>
      <c r="U78">
        <v>1</v>
      </c>
      <c r="V78" s="14">
        <f>Table2[[#This Row],[Actual_Transit_Days]]-Table2[[#This Row],[Planned_Transit_Days]]</f>
        <v>0</v>
      </c>
      <c r="W78">
        <v>623044</v>
      </c>
      <c r="X78">
        <v>595448</v>
      </c>
      <c r="Y78" t="s">
        <v>42</v>
      </c>
      <c r="Z78" s="14">
        <f>IF(Table2[[#This Row],[Delivery_Date]]&lt;=Table2[[#This Row],[Planned_Date]],1,0)</f>
        <v>1</v>
      </c>
      <c r="AA78" s="18">
        <f>Table2[[#This Row],[Units_Damaged]]/Table2[[#This Row],[Units_Shipped]]</f>
        <v>0</v>
      </c>
      <c r="AB78">
        <f t="shared" si="6"/>
        <v>27596</v>
      </c>
      <c r="AC78" s="17">
        <f t="shared" si="7"/>
        <v>4.6344936921444022E-2</v>
      </c>
    </row>
    <row r="79" spans="1:29" x14ac:dyDescent="0.25">
      <c r="A79" t="s">
        <v>151</v>
      </c>
      <c r="B79" s="1">
        <v>46195</v>
      </c>
      <c r="C79" s="1">
        <v>46210</v>
      </c>
      <c r="D79" t="s">
        <v>62</v>
      </c>
      <c r="E79" t="s">
        <v>45</v>
      </c>
      <c r="F79" t="s">
        <v>37</v>
      </c>
      <c r="G79" t="s">
        <v>30</v>
      </c>
      <c r="H79" t="s">
        <v>31</v>
      </c>
      <c r="I79" t="s">
        <v>88</v>
      </c>
      <c r="J79" t="s">
        <v>89</v>
      </c>
      <c r="K79" s="14" t="str">
        <f t="shared" si="4"/>
        <v>Kwara → Edo</v>
      </c>
      <c r="L79" t="s">
        <v>32</v>
      </c>
      <c r="M79">
        <v>11</v>
      </c>
      <c r="N79">
        <v>11</v>
      </c>
      <c r="O79">
        <v>0</v>
      </c>
      <c r="P79">
        <v>354</v>
      </c>
      <c r="Q79" s="14" t="str">
        <f t="shared" si="5"/>
        <v>251–500 km</v>
      </c>
      <c r="R79" s="14" t="str">
        <f>IF(Table2[[#This Row],[Distance Bands]]="0–100 km","Short",
IF(Table2[[#This Row],[Distance Bands]]="101–250 km","Medium",
IF(Table2[[#This Row],[Distance Bands]]="251–500 km","Long",
IF(Table2[[#This Row],[Distance Bands]]="501–1,000 km","Very Long",
"Extreme"))))</f>
        <v>Long</v>
      </c>
      <c r="S79" s="13">
        <f>Table2[[#This Row],[Freight_Cost_NGN]]/Table2[[#This Row],[Distance_km]]</f>
        <v>728.43502824858751</v>
      </c>
      <c r="T79">
        <v>2</v>
      </c>
      <c r="U79">
        <v>2</v>
      </c>
      <c r="V79" s="14">
        <f>Table2[[#This Row],[Actual_Transit_Days]]-Table2[[#This Row],[Planned_Transit_Days]]</f>
        <v>0</v>
      </c>
      <c r="W79">
        <v>257866</v>
      </c>
      <c r="X79">
        <v>247958</v>
      </c>
      <c r="Y79" t="s">
        <v>42</v>
      </c>
      <c r="Z79" s="14">
        <f>IF(Table2[[#This Row],[Delivery_Date]]&lt;=Table2[[#This Row],[Planned_Date]],1,0)</f>
        <v>0</v>
      </c>
      <c r="AA79" s="18">
        <f>Table2[[#This Row],[Units_Damaged]]/Table2[[#This Row],[Units_Shipped]]</f>
        <v>0</v>
      </c>
      <c r="AB79">
        <f t="shared" si="6"/>
        <v>9908</v>
      </c>
      <c r="AC79" s="17">
        <f t="shared" si="7"/>
        <v>3.9958380048233974E-2</v>
      </c>
    </row>
    <row r="80" spans="1:29" x14ac:dyDescent="0.25">
      <c r="A80" t="s">
        <v>152</v>
      </c>
      <c r="B80" s="1">
        <v>46196</v>
      </c>
      <c r="C80" s="1">
        <v>46159</v>
      </c>
      <c r="D80" t="s">
        <v>62</v>
      </c>
      <c r="E80" t="s">
        <v>45</v>
      </c>
      <c r="F80" t="s">
        <v>37</v>
      </c>
      <c r="G80" t="s">
        <v>49</v>
      </c>
      <c r="H80" t="s">
        <v>50</v>
      </c>
      <c r="I80" t="s">
        <v>47</v>
      </c>
      <c r="J80" t="s">
        <v>48</v>
      </c>
      <c r="K80" s="14" t="str">
        <f t="shared" si="4"/>
        <v>Niger → Cross River</v>
      </c>
      <c r="L80" t="s">
        <v>41</v>
      </c>
      <c r="M80">
        <v>24</v>
      </c>
      <c r="N80">
        <v>23</v>
      </c>
      <c r="O80">
        <v>1</v>
      </c>
      <c r="P80">
        <v>285</v>
      </c>
      <c r="Q80" s="14" t="str">
        <f t="shared" si="5"/>
        <v>251–500 km</v>
      </c>
      <c r="R80" s="14" t="str">
        <f>IF(Table2[[#This Row],[Distance Bands]]="0–100 km","Short",
IF(Table2[[#This Row],[Distance Bands]]="101–250 km","Medium",
IF(Table2[[#This Row],[Distance Bands]]="251–500 km","Long",
IF(Table2[[#This Row],[Distance Bands]]="501–1,000 km","Very Long",
"Extreme"))))</f>
        <v>Long</v>
      </c>
      <c r="S80" s="13">
        <f>Table2[[#This Row],[Freight_Cost_NGN]]/Table2[[#This Row],[Distance_km]]</f>
        <v>1017.6526315789474</v>
      </c>
      <c r="T80">
        <v>3</v>
      </c>
      <c r="U80">
        <v>3</v>
      </c>
      <c r="V80" s="14">
        <f>Table2[[#This Row],[Actual_Transit_Days]]-Table2[[#This Row],[Planned_Transit_Days]]</f>
        <v>0</v>
      </c>
      <c r="W80">
        <v>290031</v>
      </c>
      <c r="X80">
        <v>311715</v>
      </c>
      <c r="Y80" t="s">
        <v>42</v>
      </c>
      <c r="Z80" s="14">
        <f>IF(Table2[[#This Row],[Delivery_Date]]&lt;=Table2[[#This Row],[Planned_Date]],1,0)</f>
        <v>1</v>
      </c>
      <c r="AA80" s="18">
        <f>Table2[[#This Row],[Units_Damaged]]/Table2[[#This Row],[Units_Shipped]]</f>
        <v>4.1666666666666664E-2</v>
      </c>
      <c r="AB80">
        <f t="shared" si="6"/>
        <v>-21684</v>
      </c>
      <c r="AC80" s="17">
        <f t="shared" si="7"/>
        <v>-6.9563543621577406E-2</v>
      </c>
    </row>
    <row r="81" spans="1:29" x14ac:dyDescent="0.25">
      <c r="A81" t="s">
        <v>153</v>
      </c>
      <c r="B81" s="1">
        <v>46197</v>
      </c>
      <c r="C81" s="1">
        <v>46117</v>
      </c>
      <c r="D81" t="s">
        <v>44</v>
      </c>
      <c r="E81" t="s">
        <v>27</v>
      </c>
      <c r="F81" t="s">
        <v>46</v>
      </c>
      <c r="G81" t="s">
        <v>30</v>
      </c>
      <c r="H81" t="s">
        <v>31</v>
      </c>
      <c r="I81" t="s">
        <v>49</v>
      </c>
      <c r="J81" t="s">
        <v>50</v>
      </c>
      <c r="K81" s="14" t="str">
        <f t="shared" si="4"/>
        <v>Kwara → Niger</v>
      </c>
      <c r="L81" t="s">
        <v>41</v>
      </c>
      <c r="M81">
        <v>124</v>
      </c>
      <c r="N81">
        <v>122</v>
      </c>
      <c r="O81">
        <v>2</v>
      </c>
      <c r="P81">
        <v>83</v>
      </c>
      <c r="Q81" s="14" t="str">
        <f t="shared" si="5"/>
        <v>0–100 km</v>
      </c>
      <c r="R81" s="14" t="str">
        <f>IF(Table2[[#This Row],[Distance Bands]]="0–100 km","Short",
IF(Table2[[#This Row],[Distance Bands]]="101–250 km","Medium",
IF(Table2[[#This Row],[Distance Bands]]="251–500 km","Long",
IF(Table2[[#This Row],[Distance Bands]]="501–1,000 km","Very Long",
"Extreme"))))</f>
        <v>Short</v>
      </c>
      <c r="S81" s="13">
        <f>Table2[[#This Row],[Freight_Cost_NGN]]/Table2[[#This Row],[Distance_km]]</f>
        <v>19297.156626506025</v>
      </c>
      <c r="T81">
        <v>5</v>
      </c>
      <c r="U81">
        <v>5</v>
      </c>
      <c r="V81" s="14">
        <f>Table2[[#This Row],[Actual_Transit_Days]]-Table2[[#This Row],[Planned_Transit_Days]]</f>
        <v>0</v>
      </c>
      <c r="W81">
        <v>1601664</v>
      </c>
      <c r="X81">
        <v>1729750</v>
      </c>
      <c r="Y81" t="s">
        <v>42</v>
      </c>
      <c r="Z81" s="14">
        <f>IF(Table2[[#This Row],[Delivery_Date]]&lt;=Table2[[#This Row],[Planned_Date]],1,0)</f>
        <v>1</v>
      </c>
      <c r="AA81" s="18">
        <f>Table2[[#This Row],[Units_Damaged]]/Table2[[#This Row],[Units_Shipped]]</f>
        <v>1.6129032258064516E-2</v>
      </c>
      <c r="AB81">
        <f t="shared" si="6"/>
        <v>-128086</v>
      </c>
      <c r="AC81" s="17">
        <f t="shared" si="7"/>
        <v>-7.4048850990027462E-2</v>
      </c>
    </row>
    <row r="82" spans="1:29" x14ac:dyDescent="0.25">
      <c r="A82" t="s">
        <v>154</v>
      </c>
      <c r="B82" s="1">
        <v>46198</v>
      </c>
      <c r="C82" s="1">
        <v>46063</v>
      </c>
      <c r="D82" t="s">
        <v>44</v>
      </c>
      <c r="E82" t="s">
        <v>45</v>
      </c>
      <c r="F82" t="s">
        <v>46</v>
      </c>
      <c r="G82" t="s">
        <v>29</v>
      </c>
      <c r="H82" t="s">
        <v>29</v>
      </c>
      <c r="I82" t="s">
        <v>64</v>
      </c>
      <c r="J82" t="s">
        <v>65</v>
      </c>
      <c r="K82" s="14" t="str">
        <f t="shared" si="4"/>
        <v>Kaduna → Plateau</v>
      </c>
      <c r="L82" t="s">
        <v>41</v>
      </c>
      <c r="M82">
        <v>33</v>
      </c>
      <c r="N82">
        <v>32</v>
      </c>
      <c r="O82">
        <v>1</v>
      </c>
      <c r="P82">
        <v>133</v>
      </c>
      <c r="Q82" s="14" t="str">
        <f t="shared" si="5"/>
        <v>101–250 km</v>
      </c>
      <c r="R82" s="14" t="str">
        <f>IF(Table2[[#This Row],[Distance Bands]]="0–100 km","Short",
IF(Table2[[#This Row],[Distance Bands]]="101–250 km","Medium",
IF(Table2[[#This Row],[Distance Bands]]="251–500 km","Long",
IF(Table2[[#This Row],[Distance Bands]]="501–1,000 km","Very Long",
"Extreme"))))</f>
        <v>Medium</v>
      </c>
      <c r="S82" s="13">
        <f>Table2[[#This Row],[Freight_Cost_NGN]]/Table2[[#This Row],[Distance_km]]</f>
        <v>3572.6315789473683</v>
      </c>
      <c r="T82">
        <v>5</v>
      </c>
      <c r="U82">
        <v>15</v>
      </c>
      <c r="V82" s="14">
        <f>Table2[[#This Row],[Actual_Transit_Days]]-Table2[[#This Row],[Planned_Transit_Days]]</f>
        <v>10</v>
      </c>
      <c r="W82">
        <v>475160</v>
      </c>
      <c r="X82">
        <v>515318</v>
      </c>
      <c r="Y82" t="s">
        <v>75</v>
      </c>
      <c r="Z82" s="14">
        <f>IF(Table2[[#This Row],[Delivery_Date]]&lt;=Table2[[#This Row],[Planned_Date]],1,0)</f>
        <v>1</v>
      </c>
      <c r="AA82" s="18">
        <f>Table2[[#This Row],[Units_Damaged]]/Table2[[#This Row],[Units_Shipped]]</f>
        <v>3.0303030303030304E-2</v>
      </c>
      <c r="AB82">
        <f t="shared" si="6"/>
        <v>-40158</v>
      </c>
      <c r="AC82" s="17">
        <f t="shared" si="7"/>
        <v>-7.7928580022432747E-2</v>
      </c>
    </row>
    <row r="83" spans="1:29" x14ac:dyDescent="0.25">
      <c r="A83" t="s">
        <v>155</v>
      </c>
      <c r="B83" s="1">
        <v>46199</v>
      </c>
      <c r="C83" s="1">
        <v>46047</v>
      </c>
      <c r="D83" t="s">
        <v>44</v>
      </c>
      <c r="E83" t="s">
        <v>27</v>
      </c>
      <c r="F83" t="s">
        <v>46</v>
      </c>
      <c r="G83" t="s">
        <v>91</v>
      </c>
      <c r="H83" t="s">
        <v>92</v>
      </c>
      <c r="I83" t="s">
        <v>58</v>
      </c>
      <c r="J83" t="s">
        <v>59</v>
      </c>
      <c r="K83" s="14" t="str">
        <f t="shared" si="4"/>
        <v>Delta → Ogun</v>
      </c>
      <c r="L83" t="s">
        <v>32</v>
      </c>
      <c r="M83">
        <v>80</v>
      </c>
      <c r="N83">
        <v>77</v>
      </c>
      <c r="O83">
        <v>3</v>
      </c>
      <c r="P83">
        <v>623</v>
      </c>
      <c r="Q83" s="14" t="str">
        <f t="shared" si="5"/>
        <v>501–1,000 km</v>
      </c>
      <c r="R83" s="14" t="str">
        <f>IF(Table2[[#This Row],[Distance Bands]]="0–100 km","Short",
IF(Table2[[#This Row],[Distance Bands]]="101–250 km","Medium",
IF(Table2[[#This Row],[Distance Bands]]="251–500 km","Long",
IF(Table2[[#This Row],[Distance Bands]]="501–1,000 km","Very Long",
"Extreme"))))</f>
        <v>Very Long</v>
      </c>
      <c r="S83" s="13">
        <f>Table2[[#This Row],[Freight_Cost_NGN]]/Table2[[#This Row],[Distance_km]]</f>
        <v>2101.4012841091494</v>
      </c>
      <c r="T83">
        <v>3</v>
      </c>
      <c r="U83">
        <v>4</v>
      </c>
      <c r="V83" s="14">
        <f>Table2[[#This Row],[Actual_Transit_Days]]-Table2[[#This Row],[Planned_Transit_Days]]</f>
        <v>1</v>
      </c>
      <c r="W83">
        <v>1309173</v>
      </c>
      <c r="X83">
        <v>1240280</v>
      </c>
      <c r="Y83" t="s">
        <v>33</v>
      </c>
      <c r="Z83" s="14">
        <f>IF(Table2[[#This Row],[Delivery_Date]]&lt;=Table2[[#This Row],[Planned_Date]],1,0)</f>
        <v>1</v>
      </c>
      <c r="AA83" s="18">
        <f>Table2[[#This Row],[Units_Damaged]]/Table2[[#This Row],[Units_Shipped]]</f>
        <v>3.7499999999999999E-2</v>
      </c>
      <c r="AB83">
        <f t="shared" si="6"/>
        <v>68893</v>
      </c>
      <c r="AC83" s="17">
        <f t="shared" si="7"/>
        <v>5.5546328248460022E-2</v>
      </c>
    </row>
    <row r="84" spans="1:29" x14ac:dyDescent="0.25">
      <c r="A84" t="s">
        <v>156</v>
      </c>
      <c r="B84" s="1">
        <v>46200</v>
      </c>
      <c r="C84" s="1">
        <v>46251</v>
      </c>
      <c r="D84" t="s">
        <v>44</v>
      </c>
      <c r="E84" t="s">
        <v>27</v>
      </c>
      <c r="F84" t="s">
        <v>63</v>
      </c>
      <c r="G84" t="s">
        <v>49</v>
      </c>
      <c r="H84" t="s">
        <v>50</v>
      </c>
      <c r="I84" t="s">
        <v>88</v>
      </c>
      <c r="J84" t="s">
        <v>89</v>
      </c>
      <c r="K84" s="14" t="str">
        <f t="shared" si="4"/>
        <v>Niger → Edo</v>
      </c>
      <c r="L84" t="s">
        <v>41</v>
      </c>
      <c r="M84">
        <v>134</v>
      </c>
      <c r="N84">
        <v>129</v>
      </c>
      <c r="O84">
        <v>5</v>
      </c>
      <c r="P84">
        <v>846</v>
      </c>
      <c r="Q84" s="14" t="str">
        <f t="shared" si="5"/>
        <v>501–1,000 km</v>
      </c>
      <c r="R84" s="14" t="str">
        <f>IF(Table2[[#This Row],[Distance Bands]]="0–100 km","Short",
IF(Table2[[#This Row],[Distance Bands]]="101–250 km","Medium",
IF(Table2[[#This Row],[Distance Bands]]="251–500 km","Long",
IF(Table2[[#This Row],[Distance Bands]]="501–1,000 km","Very Long",
"Extreme"))))</f>
        <v>Very Long</v>
      </c>
      <c r="S84" s="13">
        <f>Table2[[#This Row],[Freight_Cost_NGN]]/Table2[[#This Row],[Distance_km]]</f>
        <v>1274.2978723404256</v>
      </c>
      <c r="T84">
        <v>5</v>
      </c>
      <c r="U84">
        <v>5</v>
      </c>
      <c r="V84" s="14">
        <f>Table2[[#This Row],[Actual_Transit_Days]]-Table2[[#This Row],[Planned_Transit_Days]]</f>
        <v>0</v>
      </c>
      <c r="W84">
        <v>1078056</v>
      </c>
      <c r="X84">
        <v>1009663</v>
      </c>
      <c r="Y84" t="s">
        <v>42</v>
      </c>
      <c r="Z84" s="14">
        <f>IF(Table2[[#This Row],[Delivery_Date]]&lt;=Table2[[#This Row],[Planned_Date]],1,0)</f>
        <v>0</v>
      </c>
      <c r="AA84" s="18">
        <f>Table2[[#This Row],[Units_Damaged]]/Table2[[#This Row],[Units_Shipped]]</f>
        <v>3.7313432835820892E-2</v>
      </c>
      <c r="AB84">
        <f t="shared" si="6"/>
        <v>68393</v>
      </c>
      <c r="AC84" s="17">
        <f t="shared" si="7"/>
        <v>6.7738443421220748E-2</v>
      </c>
    </row>
    <row r="85" spans="1:29" x14ac:dyDescent="0.25">
      <c r="A85" t="s">
        <v>157</v>
      </c>
      <c r="B85" s="1">
        <v>46201</v>
      </c>
      <c r="C85" s="1">
        <v>46042</v>
      </c>
      <c r="D85" t="s">
        <v>35</v>
      </c>
      <c r="E85" t="s">
        <v>67</v>
      </c>
      <c r="F85" t="s">
        <v>53</v>
      </c>
      <c r="G85" t="s">
        <v>80</v>
      </c>
      <c r="H85" t="s">
        <v>80</v>
      </c>
      <c r="I85" t="s">
        <v>38</v>
      </c>
      <c r="J85" t="s">
        <v>38</v>
      </c>
      <c r="K85" s="14" t="str">
        <f t="shared" si="4"/>
        <v>Enugu → Kano</v>
      </c>
      <c r="L85" t="s">
        <v>32</v>
      </c>
      <c r="M85">
        <v>43</v>
      </c>
      <c r="N85">
        <v>42</v>
      </c>
      <c r="O85">
        <v>1</v>
      </c>
      <c r="P85">
        <v>768</v>
      </c>
      <c r="Q85" s="14" t="str">
        <f t="shared" si="5"/>
        <v>501–1,000 km</v>
      </c>
      <c r="R85" s="14" t="str">
        <f>IF(Table2[[#This Row],[Distance Bands]]="0–100 km","Short",
IF(Table2[[#This Row],[Distance Bands]]="101–250 km","Medium",
IF(Table2[[#This Row],[Distance Bands]]="251–500 km","Long",
IF(Table2[[#This Row],[Distance Bands]]="501–1,000 km","Very Long",
"Extreme"))))</f>
        <v>Very Long</v>
      </c>
      <c r="S85" s="13">
        <f>Table2[[#This Row],[Freight_Cost_NGN]]/Table2[[#This Row],[Distance_km]]</f>
        <v>1239.6067708333333</v>
      </c>
      <c r="T85">
        <v>3</v>
      </c>
      <c r="U85">
        <v>5</v>
      </c>
      <c r="V85" s="14">
        <f>Table2[[#This Row],[Actual_Transit_Days]]-Table2[[#This Row],[Planned_Transit_Days]]</f>
        <v>2</v>
      </c>
      <c r="W85">
        <v>952018</v>
      </c>
      <c r="X85">
        <v>966498</v>
      </c>
      <c r="Y85" t="s">
        <v>33</v>
      </c>
      <c r="Z85" s="14">
        <f>IF(Table2[[#This Row],[Delivery_Date]]&lt;=Table2[[#This Row],[Planned_Date]],1,0)</f>
        <v>1</v>
      </c>
      <c r="AA85" s="18">
        <f>Table2[[#This Row],[Units_Damaged]]/Table2[[#This Row],[Units_Shipped]]</f>
        <v>2.3255813953488372E-2</v>
      </c>
      <c r="AB85">
        <f t="shared" si="6"/>
        <v>-14480</v>
      </c>
      <c r="AC85" s="17">
        <f t="shared" si="7"/>
        <v>-1.4981924432331987E-2</v>
      </c>
    </row>
    <row r="86" spans="1:29" x14ac:dyDescent="0.25">
      <c r="A86" t="s">
        <v>158</v>
      </c>
      <c r="B86" s="1">
        <v>46202</v>
      </c>
      <c r="C86" s="1">
        <v>46241</v>
      </c>
      <c r="D86" t="s">
        <v>35</v>
      </c>
      <c r="E86" t="s">
        <v>52</v>
      </c>
      <c r="F86" t="s">
        <v>46</v>
      </c>
      <c r="G86" t="s">
        <v>47</v>
      </c>
      <c r="H86" t="s">
        <v>48</v>
      </c>
      <c r="I86" t="s">
        <v>30</v>
      </c>
      <c r="J86" t="s">
        <v>31</v>
      </c>
      <c r="K86" s="14" t="str">
        <f t="shared" si="4"/>
        <v>Cross River → Kwara</v>
      </c>
      <c r="L86" t="s">
        <v>41</v>
      </c>
      <c r="M86">
        <v>113</v>
      </c>
      <c r="N86">
        <v>111</v>
      </c>
      <c r="O86">
        <v>2</v>
      </c>
      <c r="P86">
        <v>506</v>
      </c>
      <c r="Q86" s="14" t="str">
        <f t="shared" si="5"/>
        <v>501–1,000 km</v>
      </c>
      <c r="R86" s="14" t="str">
        <f>IF(Table2[[#This Row],[Distance Bands]]="0–100 km","Short",
IF(Table2[[#This Row],[Distance Bands]]="101–250 km","Medium",
IF(Table2[[#This Row],[Distance Bands]]="251–500 km","Long",
IF(Table2[[#This Row],[Distance Bands]]="501–1,000 km","Very Long",
"Extreme"))))</f>
        <v>Very Long</v>
      </c>
      <c r="S86" s="13">
        <f>Table2[[#This Row],[Freight_Cost_NGN]]/Table2[[#This Row],[Distance_km]]</f>
        <v>1638.108695652174</v>
      </c>
      <c r="T86">
        <v>4</v>
      </c>
      <c r="U86">
        <v>4</v>
      </c>
      <c r="V86" s="14">
        <f>Table2[[#This Row],[Actual_Transit_Days]]-Table2[[#This Row],[Planned_Transit_Days]]</f>
        <v>0</v>
      </c>
      <c r="W86">
        <v>828883</v>
      </c>
      <c r="X86">
        <v>780243</v>
      </c>
      <c r="Y86" t="s">
        <v>42</v>
      </c>
      <c r="Z86" s="14">
        <f>IF(Table2[[#This Row],[Delivery_Date]]&lt;=Table2[[#This Row],[Planned_Date]],1,0)</f>
        <v>0</v>
      </c>
      <c r="AA86" s="18">
        <f>Table2[[#This Row],[Units_Damaged]]/Table2[[#This Row],[Units_Shipped]]</f>
        <v>1.7699115044247787E-2</v>
      </c>
      <c r="AB86">
        <f t="shared" si="6"/>
        <v>48640</v>
      </c>
      <c r="AC86" s="17">
        <f t="shared" si="7"/>
        <v>6.2339553190480401E-2</v>
      </c>
    </row>
    <row r="87" spans="1:29" x14ac:dyDescent="0.25">
      <c r="A87" t="s">
        <v>159</v>
      </c>
      <c r="B87" s="1">
        <v>46203</v>
      </c>
      <c r="C87" s="1">
        <v>46133</v>
      </c>
      <c r="D87" t="s">
        <v>77</v>
      </c>
      <c r="E87" t="s">
        <v>36</v>
      </c>
      <c r="F87" t="s">
        <v>37</v>
      </c>
      <c r="G87" t="s">
        <v>68</v>
      </c>
      <c r="H87" t="s">
        <v>69</v>
      </c>
      <c r="I87" t="s">
        <v>80</v>
      </c>
      <c r="J87" t="s">
        <v>80</v>
      </c>
      <c r="K87" s="14" t="str">
        <f t="shared" si="4"/>
        <v>Abia → Enugu</v>
      </c>
      <c r="L87" t="s">
        <v>41</v>
      </c>
      <c r="M87">
        <v>135</v>
      </c>
      <c r="N87">
        <v>131</v>
      </c>
      <c r="O87">
        <v>4</v>
      </c>
      <c r="P87">
        <v>522</v>
      </c>
      <c r="Q87" s="14" t="str">
        <f t="shared" si="5"/>
        <v>501–1,000 km</v>
      </c>
      <c r="R87" s="14" t="str">
        <f>IF(Table2[[#This Row],[Distance Bands]]="0–100 km","Short",
IF(Table2[[#This Row],[Distance Bands]]="101–250 km","Medium",
IF(Table2[[#This Row],[Distance Bands]]="251–500 km","Long",
IF(Table2[[#This Row],[Distance Bands]]="501–1,000 km","Very Long",
"Extreme"))))</f>
        <v>Very Long</v>
      </c>
      <c r="S87" s="13">
        <f>Table2[[#This Row],[Freight_Cost_NGN]]/Table2[[#This Row],[Distance_km]]</f>
        <v>1744.5862068965516</v>
      </c>
      <c r="T87">
        <v>3</v>
      </c>
      <c r="U87">
        <v>3</v>
      </c>
      <c r="V87" s="14">
        <f>Table2[[#This Row],[Actual_Transit_Days]]-Table2[[#This Row],[Planned_Transit_Days]]</f>
        <v>0</v>
      </c>
      <c r="W87">
        <v>910674</v>
      </c>
      <c r="X87">
        <v>964348</v>
      </c>
      <c r="Y87" t="s">
        <v>42</v>
      </c>
      <c r="Z87" s="14">
        <f>IF(Table2[[#This Row],[Delivery_Date]]&lt;=Table2[[#This Row],[Planned_Date]],1,0)</f>
        <v>1</v>
      </c>
      <c r="AA87" s="18">
        <f>Table2[[#This Row],[Units_Damaged]]/Table2[[#This Row],[Units_Shipped]]</f>
        <v>2.9629629629629631E-2</v>
      </c>
      <c r="AB87">
        <f t="shared" si="6"/>
        <v>-53674</v>
      </c>
      <c r="AC87" s="17">
        <f t="shared" si="7"/>
        <v>-5.5658330810039527E-2</v>
      </c>
    </row>
    <row r="88" spans="1:29" x14ac:dyDescent="0.25">
      <c r="A88" t="s">
        <v>160</v>
      </c>
      <c r="B88" s="1">
        <v>46204</v>
      </c>
      <c r="C88" s="1">
        <v>46050</v>
      </c>
      <c r="D88" t="s">
        <v>62</v>
      </c>
      <c r="E88" t="s">
        <v>52</v>
      </c>
      <c r="F88" t="s">
        <v>63</v>
      </c>
      <c r="G88" t="s">
        <v>72</v>
      </c>
      <c r="H88" t="s">
        <v>72</v>
      </c>
      <c r="I88" t="s">
        <v>68</v>
      </c>
      <c r="J88" t="s">
        <v>69</v>
      </c>
      <c r="K88" s="14" t="str">
        <f t="shared" si="4"/>
        <v>Lagos → Abia</v>
      </c>
      <c r="L88" t="s">
        <v>32</v>
      </c>
      <c r="M88">
        <v>51</v>
      </c>
      <c r="N88">
        <v>51</v>
      </c>
      <c r="O88">
        <v>0</v>
      </c>
      <c r="P88">
        <v>36</v>
      </c>
      <c r="Q88" s="14" t="str">
        <f t="shared" si="5"/>
        <v>0–100 km</v>
      </c>
      <c r="R88" s="14" t="str">
        <f>IF(Table2[[#This Row],[Distance Bands]]="0–100 km","Short",
IF(Table2[[#This Row],[Distance Bands]]="101–250 km","Medium",
IF(Table2[[#This Row],[Distance Bands]]="251–500 km","Long",
IF(Table2[[#This Row],[Distance Bands]]="501–1,000 km","Very Long",
"Extreme"))))</f>
        <v>Short</v>
      </c>
      <c r="S88" s="13">
        <f>Table2[[#This Row],[Freight_Cost_NGN]]/Table2[[#This Row],[Distance_km]]</f>
        <v>8503.75</v>
      </c>
      <c r="T88">
        <v>7</v>
      </c>
      <c r="U88">
        <v>7</v>
      </c>
      <c r="V88" s="14">
        <f>Table2[[#This Row],[Actual_Transit_Days]]-Table2[[#This Row],[Planned_Transit_Days]]</f>
        <v>0</v>
      </c>
      <c r="W88">
        <v>306135</v>
      </c>
      <c r="X88">
        <v>335092</v>
      </c>
      <c r="Y88" t="s">
        <v>42</v>
      </c>
      <c r="Z88" s="14">
        <f>IF(Table2[[#This Row],[Delivery_Date]]&lt;=Table2[[#This Row],[Planned_Date]],1,0)</f>
        <v>1</v>
      </c>
      <c r="AA88" s="18">
        <f>Table2[[#This Row],[Units_Damaged]]/Table2[[#This Row],[Units_Shipped]]</f>
        <v>0</v>
      </c>
      <c r="AB88">
        <f t="shared" si="6"/>
        <v>-28957</v>
      </c>
      <c r="AC88" s="17">
        <f t="shared" si="7"/>
        <v>-8.641507406921084E-2</v>
      </c>
    </row>
    <row r="89" spans="1:29" x14ac:dyDescent="0.25">
      <c r="A89" t="s">
        <v>161</v>
      </c>
      <c r="B89" s="1">
        <v>46205</v>
      </c>
      <c r="C89" s="1">
        <v>46058</v>
      </c>
      <c r="D89" t="s">
        <v>62</v>
      </c>
      <c r="E89" t="s">
        <v>103</v>
      </c>
      <c r="F89" t="s">
        <v>28</v>
      </c>
      <c r="G89" t="s">
        <v>91</v>
      </c>
      <c r="H89" t="s">
        <v>92</v>
      </c>
      <c r="I89" t="s">
        <v>38</v>
      </c>
      <c r="J89" t="s">
        <v>38</v>
      </c>
      <c r="K89" s="14" t="str">
        <f t="shared" si="4"/>
        <v>Delta → Kano</v>
      </c>
      <c r="L89" t="s">
        <v>41</v>
      </c>
      <c r="M89">
        <v>63</v>
      </c>
      <c r="N89">
        <v>61</v>
      </c>
      <c r="O89">
        <v>2</v>
      </c>
      <c r="P89">
        <v>513</v>
      </c>
      <c r="Q89" s="14" t="str">
        <f t="shared" si="5"/>
        <v>501–1,000 km</v>
      </c>
      <c r="R89" s="14" t="str">
        <f>IF(Table2[[#This Row],[Distance Bands]]="0–100 km","Short",
IF(Table2[[#This Row],[Distance Bands]]="101–250 km","Medium",
IF(Table2[[#This Row],[Distance Bands]]="251–500 km","Long",
IF(Table2[[#This Row],[Distance Bands]]="501–1,000 km","Very Long",
"Extreme"))))</f>
        <v>Very Long</v>
      </c>
      <c r="S89" s="13">
        <f>Table2[[#This Row],[Freight_Cost_NGN]]/Table2[[#This Row],[Distance_km]]</f>
        <v>1715.4912280701753</v>
      </c>
      <c r="T89">
        <v>6</v>
      </c>
      <c r="U89">
        <v>7</v>
      </c>
      <c r="V89" s="14">
        <f>Table2[[#This Row],[Actual_Transit_Days]]-Table2[[#This Row],[Planned_Transit_Days]]</f>
        <v>1</v>
      </c>
      <c r="W89">
        <v>880047</v>
      </c>
      <c r="X89">
        <v>816582</v>
      </c>
      <c r="Y89" t="s">
        <v>33</v>
      </c>
      <c r="Z89" s="14">
        <f>IF(Table2[[#This Row],[Delivery_Date]]&lt;=Table2[[#This Row],[Planned_Date]],1,0)</f>
        <v>1</v>
      </c>
      <c r="AA89" s="18">
        <f>Table2[[#This Row],[Units_Damaged]]/Table2[[#This Row],[Units_Shipped]]</f>
        <v>3.1746031746031744E-2</v>
      </c>
      <c r="AB89">
        <f t="shared" si="6"/>
        <v>63465</v>
      </c>
      <c r="AC89" s="17">
        <f t="shared" si="7"/>
        <v>7.772030243135411E-2</v>
      </c>
    </row>
    <row r="90" spans="1:29" x14ac:dyDescent="0.25">
      <c r="A90" t="s">
        <v>162</v>
      </c>
      <c r="B90" s="1">
        <v>46206</v>
      </c>
      <c r="C90" s="1">
        <v>46110</v>
      </c>
      <c r="D90" t="s">
        <v>77</v>
      </c>
      <c r="E90" t="s">
        <v>57</v>
      </c>
      <c r="F90" t="s">
        <v>37</v>
      </c>
      <c r="G90" t="s">
        <v>29</v>
      </c>
      <c r="H90" t="s">
        <v>29</v>
      </c>
      <c r="I90" t="s">
        <v>54</v>
      </c>
      <c r="J90" t="s">
        <v>55</v>
      </c>
      <c r="K90" s="14" t="str">
        <f t="shared" si="4"/>
        <v>Kaduna → Rivers</v>
      </c>
      <c r="L90" t="s">
        <v>32</v>
      </c>
      <c r="M90">
        <v>76</v>
      </c>
      <c r="N90">
        <v>74</v>
      </c>
      <c r="O90">
        <v>2</v>
      </c>
      <c r="P90">
        <v>522</v>
      </c>
      <c r="Q90" s="14" t="str">
        <f t="shared" si="5"/>
        <v>501–1,000 km</v>
      </c>
      <c r="R90" s="14" t="str">
        <f>IF(Table2[[#This Row],[Distance Bands]]="0–100 km","Short",
IF(Table2[[#This Row],[Distance Bands]]="101–250 km","Medium",
IF(Table2[[#This Row],[Distance Bands]]="251–500 km","Long",
IF(Table2[[#This Row],[Distance Bands]]="501–1,000 km","Very Long",
"Extreme"))))</f>
        <v>Very Long</v>
      </c>
      <c r="S90" s="13">
        <f>Table2[[#This Row],[Freight_Cost_NGN]]/Table2[[#This Row],[Distance_km]]</f>
        <v>2332.1379310344828</v>
      </c>
      <c r="T90">
        <v>5</v>
      </c>
      <c r="U90">
        <v>5</v>
      </c>
      <c r="V90" s="14">
        <f>Table2[[#This Row],[Actual_Transit_Days]]-Table2[[#This Row],[Planned_Transit_Days]]</f>
        <v>0</v>
      </c>
      <c r="W90">
        <v>1217376</v>
      </c>
      <c r="X90">
        <v>1313631</v>
      </c>
      <c r="Y90" t="s">
        <v>42</v>
      </c>
      <c r="Z90" s="14">
        <f>IF(Table2[[#This Row],[Delivery_Date]]&lt;=Table2[[#This Row],[Planned_Date]],1,0)</f>
        <v>1</v>
      </c>
      <c r="AA90" s="18">
        <f>Table2[[#This Row],[Units_Damaged]]/Table2[[#This Row],[Units_Shipped]]</f>
        <v>2.6315789473684209E-2</v>
      </c>
      <c r="AB90">
        <f t="shared" si="6"/>
        <v>-96255</v>
      </c>
      <c r="AC90" s="17">
        <f t="shared" si="7"/>
        <v>-7.3274001603189934E-2</v>
      </c>
    </row>
    <row r="91" spans="1:29" x14ac:dyDescent="0.25">
      <c r="A91" t="s">
        <v>163</v>
      </c>
      <c r="B91" s="1">
        <v>46207</v>
      </c>
      <c r="C91" s="1">
        <v>46266</v>
      </c>
      <c r="D91" t="s">
        <v>35</v>
      </c>
      <c r="E91" t="s">
        <v>45</v>
      </c>
      <c r="F91" t="s">
        <v>63</v>
      </c>
      <c r="G91" t="s">
        <v>58</v>
      </c>
      <c r="H91" t="s">
        <v>59</v>
      </c>
      <c r="I91" t="s">
        <v>80</v>
      </c>
      <c r="J91" t="s">
        <v>80</v>
      </c>
      <c r="K91" s="14" t="str">
        <f t="shared" si="4"/>
        <v>Ogun → Enugu</v>
      </c>
      <c r="L91" t="s">
        <v>41</v>
      </c>
      <c r="M91">
        <v>156</v>
      </c>
      <c r="N91">
        <v>156</v>
      </c>
      <c r="O91">
        <v>0</v>
      </c>
      <c r="P91">
        <v>644</v>
      </c>
      <c r="Q91" s="14" t="str">
        <f t="shared" si="5"/>
        <v>501–1,000 km</v>
      </c>
      <c r="R91" s="14" t="str">
        <f>IF(Table2[[#This Row],[Distance Bands]]="0–100 km","Short",
IF(Table2[[#This Row],[Distance Bands]]="101–250 km","Medium",
IF(Table2[[#This Row],[Distance Bands]]="251–500 km","Long",
IF(Table2[[#This Row],[Distance Bands]]="501–1,000 km","Very Long",
"Extreme"))))</f>
        <v>Very Long</v>
      </c>
      <c r="S91" s="13">
        <f>Table2[[#This Row],[Freight_Cost_NGN]]/Table2[[#This Row],[Distance_km]]</f>
        <v>3270.1055900621118</v>
      </c>
      <c r="T91">
        <v>4</v>
      </c>
      <c r="U91">
        <v>6</v>
      </c>
      <c r="V91" s="14">
        <f>Table2[[#This Row],[Actual_Transit_Days]]-Table2[[#This Row],[Planned_Transit_Days]]</f>
        <v>2</v>
      </c>
      <c r="W91">
        <v>2105948</v>
      </c>
      <c r="X91">
        <v>2310224</v>
      </c>
      <c r="Y91" t="s">
        <v>33</v>
      </c>
      <c r="Z91" s="14">
        <f>IF(Table2[[#This Row],[Delivery_Date]]&lt;=Table2[[#This Row],[Planned_Date]],1,0)</f>
        <v>0</v>
      </c>
      <c r="AA91" s="18">
        <f>Table2[[#This Row],[Units_Damaged]]/Table2[[#This Row],[Units_Shipped]]</f>
        <v>0</v>
      </c>
      <c r="AB91">
        <f t="shared" si="6"/>
        <v>-204276</v>
      </c>
      <c r="AC91" s="17">
        <f t="shared" si="7"/>
        <v>-8.8422594518973052E-2</v>
      </c>
    </row>
    <row r="92" spans="1:29" x14ac:dyDescent="0.25">
      <c r="A92" t="s">
        <v>164</v>
      </c>
      <c r="B92" s="1">
        <v>46208</v>
      </c>
      <c r="C92" s="1">
        <v>46175</v>
      </c>
      <c r="D92" t="s">
        <v>62</v>
      </c>
      <c r="E92" t="s">
        <v>27</v>
      </c>
      <c r="F92" t="s">
        <v>28</v>
      </c>
      <c r="G92" t="s">
        <v>91</v>
      </c>
      <c r="H92" t="s">
        <v>92</v>
      </c>
      <c r="I92" t="s">
        <v>64</v>
      </c>
      <c r="J92" t="s">
        <v>65</v>
      </c>
      <c r="K92" s="14" t="str">
        <f t="shared" si="4"/>
        <v>Delta → Plateau</v>
      </c>
      <c r="L92" t="s">
        <v>41</v>
      </c>
      <c r="M92">
        <v>112</v>
      </c>
      <c r="N92">
        <v>108</v>
      </c>
      <c r="O92">
        <v>4</v>
      </c>
      <c r="P92">
        <v>474</v>
      </c>
      <c r="Q92" s="14" t="str">
        <f t="shared" si="5"/>
        <v>251–500 km</v>
      </c>
      <c r="R92" s="14" t="str">
        <f>IF(Table2[[#This Row],[Distance Bands]]="0–100 km","Short",
IF(Table2[[#This Row],[Distance Bands]]="101–250 km","Medium",
IF(Table2[[#This Row],[Distance Bands]]="251–500 km","Long",
IF(Table2[[#This Row],[Distance Bands]]="501–1,000 km","Very Long",
"Extreme"))))</f>
        <v>Long</v>
      </c>
      <c r="S92" s="13">
        <f>Table2[[#This Row],[Freight_Cost_NGN]]/Table2[[#This Row],[Distance_km]]</f>
        <v>3448.2025316455697</v>
      </c>
      <c r="T92">
        <v>4</v>
      </c>
      <c r="U92">
        <v>8</v>
      </c>
      <c r="V92" s="14">
        <f>Table2[[#This Row],[Actual_Transit_Days]]-Table2[[#This Row],[Planned_Transit_Days]]</f>
        <v>4</v>
      </c>
      <c r="W92">
        <v>1634448</v>
      </c>
      <c r="X92">
        <v>1788118</v>
      </c>
      <c r="Y92" t="s">
        <v>75</v>
      </c>
      <c r="Z92" s="14">
        <f>IF(Table2[[#This Row],[Delivery_Date]]&lt;=Table2[[#This Row],[Planned_Date]],1,0)</f>
        <v>1</v>
      </c>
      <c r="AA92" s="18">
        <f>Table2[[#This Row],[Units_Damaged]]/Table2[[#This Row],[Units_Shipped]]</f>
        <v>3.5714285714285712E-2</v>
      </c>
      <c r="AB92">
        <f t="shared" si="6"/>
        <v>-153670</v>
      </c>
      <c r="AC92" s="17">
        <f t="shared" si="7"/>
        <v>-8.593951853289325E-2</v>
      </c>
    </row>
    <row r="93" spans="1:29" x14ac:dyDescent="0.25">
      <c r="A93" t="s">
        <v>165</v>
      </c>
      <c r="B93" s="1">
        <v>46209</v>
      </c>
      <c r="C93" s="1">
        <v>46066</v>
      </c>
      <c r="D93" t="s">
        <v>77</v>
      </c>
      <c r="E93" t="s">
        <v>27</v>
      </c>
      <c r="F93" t="s">
        <v>46</v>
      </c>
      <c r="G93" t="s">
        <v>73</v>
      </c>
      <c r="H93" t="s">
        <v>74</v>
      </c>
      <c r="I93" t="s">
        <v>80</v>
      </c>
      <c r="J93" t="s">
        <v>80</v>
      </c>
      <c r="K93" s="14" t="str">
        <f t="shared" si="4"/>
        <v>Oyo → Enugu</v>
      </c>
      <c r="L93" t="s">
        <v>41</v>
      </c>
      <c r="M93">
        <v>66</v>
      </c>
      <c r="N93">
        <v>66</v>
      </c>
      <c r="O93">
        <v>0</v>
      </c>
      <c r="P93">
        <v>269</v>
      </c>
      <c r="Q93" s="14" t="str">
        <f t="shared" si="5"/>
        <v>251–500 km</v>
      </c>
      <c r="R93" s="14" t="str">
        <f>IF(Table2[[#This Row],[Distance Bands]]="0–100 km","Short",
IF(Table2[[#This Row],[Distance Bands]]="101–250 km","Medium",
IF(Table2[[#This Row],[Distance Bands]]="251–500 km","Long",
IF(Table2[[#This Row],[Distance Bands]]="501–1,000 km","Very Long",
"Extreme"))))</f>
        <v>Long</v>
      </c>
      <c r="S93" s="13">
        <f>Table2[[#This Row],[Freight_Cost_NGN]]/Table2[[#This Row],[Distance_km]]</f>
        <v>1759.5799256505577</v>
      </c>
      <c r="T93">
        <v>1</v>
      </c>
      <c r="U93">
        <v>1</v>
      </c>
      <c r="V93" s="14">
        <f>Table2[[#This Row],[Actual_Transit_Days]]-Table2[[#This Row],[Planned_Transit_Days]]</f>
        <v>0</v>
      </c>
      <c r="W93">
        <v>473327</v>
      </c>
      <c r="X93">
        <v>461180</v>
      </c>
      <c r="Y93" t="s">
        <v>42</v>
      </c>
      <c r="Z93" s="14">
        <f>IF(Table2[[#This Row],[Delivery_Date]]&lt;=Table2[[#This Row],[Planned_Date]],1,0)</f>
        <v>1</v>
      </c>
      <c r="AA93" s="18">
        <f>Table2[[#This Row],[Units_Damaged]]/Table2[[#This Row],[Units_Shipped]]</f>
        <v>0</v>
      </c>
      <c r="AB93">
        <f t="shared" si="6"/>
        <v>12147</v>
      </c>
      <c r="AC93" s="17">
        <f t="shared" si="7"/>
        <v>2.6338956589617938E-2</v>
      </c>
    </row>
    <row r="94" spans="1:29" x14ac:dyDescent="0.25">
      <c r="A94" t="s">
        <v>166</v>
      </c>
      <c r="B94" s="1">
        <v>46210</v>
      </c>
      <c r="C94" s="1">
        <v>46033</v>
      </c>
      <c r="D94" t="s">
        <v>35</v>
      </c>
      <c r="E94" t="s">
        <v>57</v>
      </c>
      <c r="F94" t="s">
        <v>46</v>
      </c>
      <c r="G94" t="s">
        <v>54</v>
      </c>
      <c r="H94" t="s">
        <v>55</v>
      </c>
      <c r="I94" t="s">
        <v>72</v>
      </c>
      <c r="J94" t="s">
        <v>72</v>
      </c>
      <c r="K94" s="14" t="str">
        <f t="shared" si="4"/>
        <v>Rivers → Lagos</v>
      </c>
      <c r="L94" t="s">
        <v>32</v>
      </c>
      <c r="M94">
        <v>72</v>
      </c>
      <c r="N94">
        <v>71</v>
      </c>
      <c r="O94">
        <v>1</v>
      </c>
      <c r="P94">
        <v>170</v>
      </c>
      <c r="Q94" s="14" t="str">
        <f t="shared" si="5"/>
        <v>101–250 km</v>
      </c>
      <c r="R94" s="14" t="str">
        <f>IF(Table2[[#This Row],[Distance Bands]]="0–100 km","Short",
IF(Table2[[#This Row],[Distance Bands]]="101–250 km","Medium",
IF(Table2[[#This Row],[Distance Bands]]="251–500 km","Long",
IF(Table2[[#This Row],[Distance Bands]]="501–1,000 km","Very Long",
"Extreme"))))</f>
        <v>Medium</v>
      </c>
      <c r="S94" s="13">
        <f>Table2[[#This Row],[Freight_Cost_NGN]]/Table2[[#This Row],[Distance_km]]</f>
        <v>4066.329411764706</v>
      </c>
      <c r="T94">
        <v>4</v>
      </c>
      <c r="U94">
        <v>4</v>
      </c>
      <c r="V94" s="14">
        <f>Table2[[#This Row],[Actual_Transit_Days]]-Table2[[#This Row],[Planned_Transit_Days]]</f>
        <v>0</v>
      </c>
      <c r="W94">
        <v>691276</v>
      </c>
      <c r="X94">
        <v>674307</v>
      </c>
      <c r="Y94" t="s">
        <v>42</v>
      </c>
      <c r="Z94" s="14">
        <f>IF(Table2[[#This Row],[Delivery_Date]]&lt;=Table2[[#This Row],[Planned_Date]],1,0)</f>
        <v>1</v>
      </c>
      <c r="AA94" s="18">
        <f>Table2[[#This Row],[Units_Damaged]]/Table2[[#This Row],[Units_Shipped]]</f>
        <v>1.3888888888888888E-2</v>
      </c>
      <c r="AB94">
        <f t="shared" si="6"/>
        <v>16969</v>
      </c>
      <c r="AC94" s="17">
        <f t="shared" si="7"/>
        <v>2.5165095423894456E-2</v>
      </c>
    </row>
    <row r="95" spans="1:29" x14ac:dyDescent="0.25">
      <c r="A95" t="s">
        <v>167</v>
      </c>
      <c r="B95" s="1">
        <v>46211</v>
      </c>
      <c r="C95" s="1">
        <v>46231</v>
      </c>
      <c r="D95" t="s">
        <v>35</v>
      </c>
      <c r="E95" t="s">
        <v>57</v>
      </c>
      <c r="F95" t="s">
        <v>53</v>
      </c>
      <c r="G95" t="s">
        <v>64</v>
      </c>
      <c r="H95" t="s">
        <v>65</v>
      </c>
      <c r="I95" t="s">
        <v>38</v>
      </c>
      <c r="J95" t="s">
        <v>38</v>
      </c>
      <c r="K95" s="14" t="str">
        <f t="shared" si="4"/>
        <v>Plateau → Kano</v>
      </c>
      <c r="L95" t="s">
        <v>41</v>
      </c>
      <c r="M95">
        <v>65</v>
      </c>
      <c r="N95">
        <v>64</v>
      </c>
      <c r="O95">
        <v>1</v>
      </c>
      <c r="P95">
        <v>404</v>
      </c>
      <c r="Q95" s="14" t="str">
        <f t="shared" si="5"/>
        <v>251–500 km</v>
      </c>
      <c r="R95" s="14" t="str">
        <f>IF(Table2[[#This Row],[Distance Bands]]="0–100 km","Short",
IF(Table2[[#This Row],[Distance Bands]]="101–250 km","Medium",
IF(Table2[[#This Row],[Distance Bands]]="251–500 km","Long",
IF(Table2[[#This Row],[Distance Bands]]="501–1,000 km","Very Long",
"Extreme"))))</f>
        <v>Long</v>
      </c>
      <c r="S95" s="13">
        <f>Table2[[#This Row],[Freight_Cost_NGN]]/Table2[[#This Row],[Distance_km]]</f>
        <v>1941.0915841584158</v>
      </c>
      <c r="T95">
        <v>2</v>
      </c>
      <c r="U95">
        <v>9</v>
      </c>
      <c r="V95" s="14">
        <f>Table2[[#This Row],[Actual_Transit_Days]]-Table2[[#This Row],[Planned_Transit_Days]]</f>
        <v>7</v>
      </c>
      <c r="W95">
        <v>784201</v>
      </c>
      <c r="X95">
        <v>859346</v>
      </c>
      <c r="Y95" t="s">
        <v>75</v>
      </c>
      <c r="Z95" s="14">
        <f>IF(Table2[[#This Row],[Delivery_Date]]&lt;=Table2[[#This Row],[Planned_Date]],1,0)</f>
        <v>0</v>
      </c>
      <c r="AA95" s="18">
        <f>Table2[[#This Row],[Units_Damaged]]/Table2[[#This Row],[Units_Shipped]]</f>
        <v>1.5384615384615385E-2</v>
      </c>
      <c r="AB95">
        <f t="shared" si="6"/>
        <v>-75145</v>
      </c>
      <c r="AC95" s="17">
        <f t="shared" si="7"/>
        <v>-8.7444405396662109E-2</v>
      </c>
    </row>
    <row r="96" spans="1:29" x14ac:dyDescent="0.25">
      <c r="A96" t="s">
        <v>168</v>
      </c>
      <c r="B96" s="1">
        <v>46212</v>
      </c>
      <c r="C96" s="1">
        <v>46106</v>
      </c>
      <c r="D96" t="s">
        <v>44</v>
      </c>
      <c r="E96" t="s">
        <v>52</v>
      </c>
      <c r="F96" t="s">
        <v>46</v>
      </c>
      <c r="G96" t="s">
        <v>30</v>
      </c>
      <c r="H96" t="s">
        <v>31</v>
      </c>
      <c r="I96" t="s">
        <v>80</v>
      </c>
      <c r="J96" t="s">
        <v>80</v>
      </c>
      <c r="K96" s="14" t="str">
        <f t="shared" si="4"/>
        <v>Kwara → Enugu</v>
      </c>
      <c r="L96" t="s">
        <v>41</v>
      </c>
      <c r="M96">
        <v>121</v>
      </c>
      <c r="N96">
        <v>118</v>
      </c>
      <c r="O96">
        <v>3</v>
      </c>
      <c r="P96">
        <v>267</v>
      </c>
      <c r="Q96" s="14" t="str">
        <f t="shared" si="5"/>
        <v>251–500 km</v>
      </c>
      <c r="R96" s="14" t="str">
        <f>IF(Table2[[#This Row],[Distance Bands]]="0–100 km","Short",
IF(Table2[[#This Row],[Distance Bands]]="101–250 km","Medium",
IF(Table2[[#This Row],[Distance Bands]]="251–500 km","Long",
IF(Table2[[#This Row],[Distance Bands]]="501–1,000 km","Very Long",
"Extreme"))))</f>
        <v>Long</v>
      </c>
      <c r="S96" s="13">
        <f>Table2[[#This Row],[Freight_Cost_NGN]]/Table2[[#This Row],[Distance_km]]</f>
        <v>4169.4719101123592</v>
      </c>
      <c r="T96">
        <v>7</v>
      </c>
      <c r="U96">
        <v>8</v>
      </c>
      <c r="V96" s="14">
        <f>Table2[[#This Row],[Actual_Transit_Days]]-Table2[[#This Row],[Planned_Transit_Days]]</f>
        <v>1</v>
      </c>
      <c r="W96">
        <v>1113249</v>
      </c>
      <c r="X96">
        <v>1075547</v>
      </c>
      <c r="Y96" t="s">
        <v>33</v>
      </c>
      <c r="Z96" s="14">
        <f>IF(Table2[[#This Row],[Delivery_Date]]&lt;=Table2[[#This Row],[Planned_Date]],1,0)</f>
        <v>1</v>
      </c>
      <c r="AA96" s="18">
        <f>Table2[[#This Row],[Units_Damaged]]/Table2[[#This Row],[Units_Shipped]]</f>
        <v>2.4793388429752067E-2</v>
      </c>
      <c r="AB96">
        <f t="shared" si="6"/>
        <v>37702</v>
      </c>
      <c r="AC96" s="17">
        <f t="shared" si="7"/>
        <v>3.5053791233669938E-2</v>
      </c>
    </row>
    <row r="97" spans="1:29" x14ac:dyDescent="0.25">
      <c r="A97" t="s">
        <v>169</v>
      </c>
      <c r="B97" s="1">
        <v>46213</v>
      </c>
      <c r="C97" s="1">
        <v>46149</v>
      </c>
      <c r="D97" t="s">
        <v>57</v>
      </c>
      <c r="E97" t="s">
        <v>85</v>
      </c>
      <c r="F97" t="s">
        <v>37</v>
      </c>
      <c r="G97" t="s">
        <v>49</v>
      </c>
      <c r="H97" t="s">
        <v>50</v>
      </c>
      <c r="I97" t="s">
        <v>73</v>
      </c>
      <c r="J97" t="s">
        <v>74</v>
      </c>
      <c r="K97" s="14" t="str">
        <f t="shared" si="4"/>
        <v>Niger → Oyo</v>
      </c>
      <c r="L97" t="s">
        <v>32</v>
      </c>
      <c r="M97">
        <v>51</v>
      </c>
      <c r="N97">
        <v>49</v>
      </c>
      <c r="O97">
        <v>2</v>
      </c>
      <c r="P97">
        <v>751</v>
      </c>
      <c r="Q97" s="14" t="str">
        <f t="shared" si="5"/>
        <v>501–1,000 km</v>
      </c>
      <c r="R97" s="14" t="str">
        <f>IF(Table2[[#This Row],[Distance Bands]]="0–100 km","Short",
IF(Table2[[#This Row],[Distance Bands]]="101–250 km","Medium",
IF(Table2[[#This Row],[Distance Bands]]="251–500 km","Long",
IF(Table2[[#This Row],[Distance Bands]]="501–1,000 km","Very Long",
"Extreme"))))</f>
        <v>Very Long</v>
      </c>
      <c r="S97" s="13">
        <f>Table2[[#This Row],[Freight_Cost_NGN]]/Table2[[#This Row],[Distance_km]]</f>
        <v>649.39280958721702</v>
      </c>
      <c r="T97">
        <v>3</v>
      </c>
      <c r="U97">
        <v>3</v>
      </c>
      <c r="V97" s="14">
        <f>Table2[[#This Row],[Actual_Transit_Days]]-Table2[[#This Row],[Planned_Transit_Days]]</f>
        <v>0</v>
      </c>
      <c r="W97">
        <v>487694</v>
      </c>
      <c r="X97">
        <v>539170</v>
      </c>
      <c r="Y97" t="s">
        <v>42</v>
      </c>
      <c r="Z97" s="14">
        <f>IF(Table2[[#This Row],[Delivery_Date]]&lt;=Table2[[#This Row],[Planned_Date]],1,0)</f>
        <v>1</v>
      </c>
      <c r="AA97" s="18">
        <f>Table2[[#This Row],[Units_Damaged]]/Table2[[#This Row],[Units_Shipped]]</f>
        <v>3.9215686274509803E-2</v>
      </c>
      <c r="AB97">
        <f t="shared" si="6"/>
        <v>-51476</v>
      </c>
      <c r="AC97" s="17">
        <f t="shared" si="7"/>
        <v>-9.5472670957212014E-2</v>
      </c>
    </row>
    <row r="98" spans="1:29" x14ac:dyDescent="0.25">
      <c r="A98" t="s">
        <v>170</v>
      </c>
      <c r="B98" s="1">
        <v>46214</v>
      </c>
      <c r="C98" s="1">
        <v>46151</v>
      </c>
      <c r="D98" t="s">
        <v>62</v>
      </c>
      <c r="E98" t="s">
        <v>52</v>
      </c>
      <c r="F98" t="s">
        <v>37</v>
      </c>
      <c r="G98" t="s">
        <v>91</v>
      </c>
      <c r="H98" t="s">
        <v>92</v>
      </c>
      <c r="I98" t="s">
        <v>68</v>
      </c>
      <c r="J98" t="s">
        <v>69</v>
      </c>
      <c r="K98" s="14" t="str">
        <f t="shared" si="4"/>
        <v>Delta → Abia</v>
      </c>
      <c r="L98" t="s">
        <v>41</v>
      </c>
      <c r="M98">
        <v>72</v>
      </c>
      <c r="N98">
        <v>71</v>
      </c>
      <c r="O98">
        <v>1</v>
      </c>
      <c r="P98">
        <v>381</v>
      </c>
      <c r="Q98" s="14" t="str">
        <f t="shared" si="5"/>
        <v>251–500 km</v>
      </c>
      <c r="R98" s="14" t="str">
        <f>IF(Table2[[#This Row],[Distance Bands]]="0–100 km","Short",
IF(Table2[[#This Row],[Distance Bands]]="101–250 km","Medium",
IF(Table2[[#This Row],[Distance Bands]]="251–500 km","Long",
IF(Table2[[#This Row],[Distance Bands]]="501–1,000 km","Very Long",
"Extreme"))))</f>
        <v>Long</v>
      </c>
      <c r="S98" s="13">
        <f>Table2[[#This Row],[Freight_Cost_NGN]]/Table2[[#This Row],[Distance_km]]</f>
        <v>1348.1732283464567</v>
      </c>
      <c r="T98">
        <v>5</v>
      </c>
      <c r="U98">
        <v>5</v>
      </c>
      <c r="V98" s="14">
        <f>Table2[[#This Row],[Actual_Transit_Days]]-Table2[[#This Row],[Planned_Transit_Days]]</f>
        <v>0</v>
      </c>
      <c r="W98">
        <v>513654</v>
      </c>
      <c r="X98">
        <v>512746</v>
      </c>
      <c r="Y98" t="s">
        <v>42</v>
      </c>
      <c r="Z98" s="14">
        <f>IF(Table2[[#This Row],[Delivery_Date]]&lt;=Table2[[#This Row],[Planned_Date]],1,0)</f>
        <v>1</v>
      </c>
      <c r="AA98" s="18">
        <f>Table2[[#This Row],[Units_Damaged]]/Table2[[#This Row],[Units_Shipped]]</f>
        <v>1.3888888888888888E-2</v>
      </c>
      <c r="AB98">
        <f t="shared" si="6"/>
        <v>908</v>
      </c>
      <c r="AC98" s="17">
        <f t="shared" si="7"/>
        <v>1.7708573055664988E-3</v>
      </c>
    </row>
    <row r="99" spans="1:29" x14ac:dyDescent="0.25">
      <c r="A99" t="s">
        <v>171</v>
      </c>
      <c r="B99" s="1">
        <v>46215</v>
      </c>
      <c r="C99" s="1">
        <v>46103</v>
      </c>
      <c r="D99" t="s">
        <v>62</v>
      </c>
      <c r="E99" t="s">
        <v>45</v>
      </c>
      <c r="F99" t="s">
        <v>63</v>
      </c>
      <c r="G99" t="s">
        <v>64</v>
      </c>
      <c r="H99" t="s">
        <v>65</v>
      </c>
      <c r="I99" t="s">
        <v>58</v>
      </c>
      <c r="J99" t="s">
        <v>59</v>
      </c>
      <c r="K99" s="14" t="str">
        <f t="shared" si="4"/>
        <v>Plateau → Ogun</v>
      </c>
      <c r="L99" t="s">
        <v>41</v>
      </c>
      <c r="M99">
        <v>29</v>
      </c>
      <c r="N99">
        <v>29</v>
      </c>
      <c r="O99">
        <v>0</v>
      </c>
      <c r="P99">
        <v>285</v>
      </c>
      <c r="Q99" s="14" t="str">
        <f t="shared" si="5"/>
        <v>251–500 km</v>
      </c>
      <c r="R99" s="14" t="str">
        <f>IF(Table2[[#This Row],[Distance Bands]]="0–100 km","Short",
IF(Table2[[#This Row],[Distance Bands]]="101–250 km","Medium",
IF(Table2[[#This Row],[Distance Bands]]="251–500 km","Long",
IF(Table2[[#This Row],[Distance Bands]]="501–1,000 km","Very Long",
"Extreme"))))</f>
        <v>Long</v>
      </c>
      <c r="S99" s="13">
        <f>Table2[[#This Row],[Freight_Cost_NGN]]/Table2[[#This Row],[Distance_km]]</f>
        <v>2027.7543859649122</v>
      </c>
      <c r="T99">
        <v>1</v>
      </c>
      <c r="U99">
        <v>1</v>
      </c>
      <c r="V99" s="14">
        <f>Table2[[#This Row],[Actual_Transit_Days]]-Table2[[#This Row],[Planned_Transit_Days]]</f>
        <v>0</v>
      </c>
      <c r="W99">
        <v>577910</v>
      </c>
      <c r="X99">
        <v>564200</v>
      </c>
      <c r="Y99" t="s">
        <v>42</v>
      </c>
      <c r="Z99" s="14">
        <f>IF(Table2[[#This Row],[Delivery_Date]]&lt;=Table2[[#This Row],[Planned_Date]],1,0)</f>
        <v>1</v>
      </c>
      <c r="AA99" s="18">
        <f>Table2[[#This Row],[Units_Damaged]]/Table2[[#This Row],[Units_Shipped]]</f>
        <v>0</v>
      </c>
      <c r="AB99">
        <f t="shared" si="6"/>
        <v>13710</v>
      </c>
      <c r="AC99" s="17">
        <f t="shared" si="7"/>
        <v>2.4299893654732365E-2</v>
      </c>
    </row>
    <row r="100" spans="1:29" x14ac:dyDescent="0.25">
      <c r="A100" t="s">
        <v>172</v>
      </c>
      <c r="B100" s="1">
        <v>46216</v>
      </c>
      <c r="C100" s="1">
        <v>46238</v>
      </c>
      <c r="D100" t="s">
        <v>57</v>
      </c>
      <c r="E100" t="s">
        <v>27</v>
      </c>
      <c r="F100" t="s">
        <v>63</v>
      </c>
      <c r="G100" t="s">
        <v>39</v>
      </c>
      <c r="H100" t="s">
        <v>40</v>
      </c>
      <c r="I100" t="s">
        <v>88</v>
      </c>
      <c r="J100" t="s">
        <v>89</v>
      </c>
      <c r="K100" s="14" t="str">
        <f t="shared" si="4"/>
        <v>Anambra → Edo</v>
      </c>
      <c r="L100" t="s">
        <v>32</v>
      </c>
      <c r="M100">
        <v>66</v>
      </c>
      <c r="N100">
        <v>65</v>
      </c>
      <c r="O100">
        <v>1</v>
      </c>
      <c r="P100">
        <v>373</v>
      </c>
      <c r="Q100" s="14" t="str">
        <f t="shared" si="5"/>
        <v>251–500 km</v>
      </c>
      <c r="R100" s="14" t="str">
        <f>IF(Table2[[#This Row],[Distance Bands]]="0–100 km","Short",
IF(Table2[[#This Row],[Distance Bands]]="101–250 km","Medium",
IF(Table2[[#This Row],[Distance Bands]]="251–500 km","Long",
IF(Table2[[#This Row],[Distance Bands]]="501–1,000 km","Very Long",
"Extreme"))))</f>
        <v>Long</v>
      </c>
      <c r="S100" s="13">
        <f>Table2[[#This Row],[Freight_Cost_NGN]]/Table2[[#This Row],[Distance_km]]</f>
        <v>1513.798927613941</v>
      </c>
      <c r="T100">
        <v>6</v>
      </c>
      <c r="U100">
        <v>7</v>
      </c>
      <c r="V100" s="14">
        <f>Table2[[#This Row],[Actual_Transit_Days]]-Table2[[#This Row],[Planned_Transit_Days]]</f>
        <v>1</v>
      </c>
      <c r="W100">
        <v>564647</v>
      </c>
      <c r="X100">
        <v>583993</v>
      </c>
      <c r="Y100" t="s">
        <v>33</v>
      </c>
      <c r="Z100" s="14">
        <f>IF(Table2[[#This Row],[Delivery_Date]]&lt;=Table2[[#This Row],[Planned_Date]],1,0)</f>
        <v>0</v>
      </c>
      <c r="AA100" s="18">
        <f>Table2[[#This Row],[Units_Damaged]]/Table2[[#This Row],[Units_Shipped]]</f>
        <v>1.5151515151515152E-2</v>
      </c>
      <c r="AB100">
        <f t="shared" si="6"/>
        <v>-19346</v>
      </c>
      <c r="AC100" s="17">
        <f t="shared" si="7"/>
        <v>-3.3127109400283905E-2</v>
      </c>
    </row>
    <row r="101" spans="1:29" x14ac:dyDescent="0.25">
      <c r="A101" t="s">
        <v>173</v>
      </c>
      <c r="B101" s="1">
        <v>46217</v>
      </c>
      <c r="C101" s="1">
        <v>46249</v>
      </c>
      <c r="D101" t="s">
        <v>26</v>
      </c>
      <c r="E101" t="s">
        <v>45</v>
      </c>
      <c r="F101" t="s">
        <v>63</v>
      </c>
      <c r="G101" t="s">
        <v>72</v>
      </c>
      <c r="H101" t="s">
        <v>72</v>
      </c>
      <c r="I101" t="s">
        <v>91</v>
      </c>
      <c r="J101" t="s">
        <v>92</v>
      </c>
      <c r="K101" s="14" t="str">
        <f t="shared" si="4"/>
        <v>Lagos → Delta</v>
      </c>
      <c r="L101" t="s">
        <v>41</v>
      </c>
      <c r="M101">
        <v>101</v>
      </c>
      <c r="N101">
        <v>98</v>
      </c>
      <c r="O101">
        <v>3</v>
      </c>
      <c r="P101">
        <v>595</v>
      </c>
      <c r="Q101" s="14" t="str">
        <f t="shared" si="5"/>
        <v>501–1,000 km</v>
      </c>
      <c r="R101" s="14" t="str">
        <f>IF(Table2[[#This Row],[Distance Bands]]="0–100 km","Short",
IF(Table2[[#This Row],[Distance Bands]]="101–250 km","Medium",
IF(Table2[[#This Row],[Distance Bands]]="251–500 km","Long",
IF(Table2[[#This Row],[Distance Bands]]="501–1,000 km","Very Long",
"Extreme"))))</f>
        <v>Very Long</v>
      </c>
      <c r="S101" s="13">
        <f>Table2[[#This Row],[Freight_Cost_NGN]]/Table2[[#This Row],[Distance_km]]</f>
        <v>1471.1159663865546</v>
      </c>
      <c r="T101">
        <v>5</v>
      </c>
      <c r="U101">
        <v>7</v>
      </c>
      <c r="V101" s="14">
        <f>Table2[[#This Row],[Actual_Transit_Days]]-Table2[[#This Row],[Planned_Transit_Days]]</f>
        <v>2</v>
      </c>
      <c r="W101">
        <v>875314</v>
      </c>
      <c r="X101">
        <v>951818</v>
      </c>
      <c r="Y101" t="s">
        <v>33</v>
      </c>
      <c r="Z101" s="14">
        <f>IF(Table2[[#This Row],[Delivery_Date]]&lt;=Table2[[#This Row],[Planned_Date]],1,0)</f>
        <v>0</v>
      </c>
      <c r="AA101" s="18">
        <f>Table2[[#This Row],[Units_Damaged]]/Table2[[#This Row],[Units_Shipped]]</f>
        <v>2.9702970297029702E-2</v>
      </c>
      <c r="AB101">
        <f t="shared" si="6"/>
        <v>-76504</v>
      </c>
      <c r="AC101" s="17">
        <f t="shared" si="7"/>
        <v>-8.0376710673679214E-2</v>
      </c>
    </row>
    <row r="102" spans="1:29" x14ac:dyDescent="0.25">
      <c r="A102" t="s">
        <v>174</v>
      </c>
      <c r="B102" s="1">
        <v>46218</v>
      </c>
      <c r="C102" s="1">
        <v>46092</v>
      </c>
      <c r="D102" t="s">
        <v>77</v>
      </c>
      <c r="E102" t="s">
        <v>67</v>
      </c>
      <c r="F102" t="s">
        <v>63</v>
      </c>
      <c r="G102" t="s">
        <v>80</v>
      </c>
      <c r="H102" t="s">
        <v>80</v>
      </c>
      <c r="I102" t="s">
        <v>68</v>
      </c>
      <c r="J102" t="s">
        <v>69</v>
      </c>
      <c r="K102" s="14" t="str">
        <f t="shared" si="4"/>
        <v>Enugu → Abia</v>
      </c>
      <c r="L102" t="s">
        <v>41</v>
      </c>
      <c r="M102">
        <v>142</v>
      </c>
      <c r="N102">
        <v>137</v>
      </c>
      <c r="O102">
        <v>5</v>
      </c>
      <c r="P102">
        <v>696</v>
      </c>
      <c r="Q102" s="14" t="str">
        <f t="shared" si="5"/>
        <v>501–1,000 km</v>
      </c>
      <c r="R102" s="14" t="str">
        <f>IF(Table2[[#This Row],[Distance Bands]]="0–100 km","Short",
IF(Table2[[#This Row],[Distance Bands]]="101–250 km","Medium",
IF(Table2[[#This Row],[Distance Bands]]="251–500 km","Long",
IF(Table2[[#This Row],[Distance Bands]]="501–1,000 km","Very Long",
"Extreme"))))</f>
        <v>Very Long</v>
      </c>
      <c r="S102" s="13">
        <f>Table2[[#This Row],[Freight_Cost_NGN]]/Table2[[#This Row],[Distance_km]]</f>
        <v>2831.477011494253</v>
      </c>
      <c r="T102">
        <v>4</v>
      </c>
      <c r="U102">
        <v>8</v>
      </c>
      <c r="V102" s="14">
        <f>Table2[[#This Row],[Actual_Transit_Days]]-Table2[[#This Row],[Planned_Transit_Days]]</f>
        <v>4</v>
      </c>
      <c r="W102">
        <v>1970708</v>
      </c>
      <c r="X102">
        <v>2106098</v>
      </c>
      <c r="Y102" t="s">
        <v>75</v>
      </c>
      <c r="Z102" s="14">
        <f>IF(Table2[[#This Row],[Delivery_Date]]&lt;=Table2[[#This Row],[Planned_Date]],1,0)</f>
        <v>1</v>
      </c>
      <c r="AA102" s="18">
        <f>Table2[[#This Row],[Units_Damaged]]/Table2[[#This Row],[Units_Shipped]]</f>
        <v>3.5211267605633804E-2</v>
      </c>
      <c r="AB102">
        <f t="shared" si="6"/>
        <v>-135390</v>
      </c>
      <c r="AC102" s="17">
        <f t="shared" si="7"/>
        <v>-6.428475787926298E-2</v>
      </c>
    </row>
    <row r="103" spans="1:29" x14ac:dyDescent="0.25">
      <c r="A103" t="s">
        <v>175</v>
      </c>
      <c r="B103" s="1">
        <v>46219</v>
      </c>
      <c r="C103" s="1">
        <v>46067</v>
      </c>
      <c r="D103" t="s">
        <v>26</v>
      </c>
      <c r="E103" t="s">
        <v>36</v>
      </c>
      <c r="F103" t="s">
        <v>28</v>
      </c>
      <c r="G103" t="s">
        <v>68</v>
      </c>
      <c r="H103" t="s">
        <v>69</v>
      </c>
      <c r="I103" t="s">
        <v>39</v>
      </c>
      <c r="J103" t="s">
        <v>40</v>
      </c>
      <c r="K103" s="14" t="str">
        <f t="shared" si="4"/>
        <v>Abia → Anambra</v>
      </c>
      <c r="L103" t="s">
        <v>32</v>
      </c>
      <c r="M103">
        <v>159</v>
      </c>
      <c r="N103">
        <v>155</v>
      </c>
      <c r="O103">
        <v>4</v>
      </c>
      <c r="P103">
        <v>137</v>
      </c>
      <c r="Q103" s="14" t="str">
        <f t="shared" si="5"/>
        <v>101–250 km</v>
      </c>
      <c r="R103" s="14" t="str">
        <f>IF(Table2[[#This Row],[Distance Bands]]="0–100 km","Short",
IF(Table2[[#This Row],[Distance Bands]]="101–250 km","Medium",
IF(Table2[[#This Row],[Distance Bands]]="251–500 km","Long",
IF(Table2[[#This Row],[Distance Bands]]="501–1,000 km","Very Long",
"Extreme"))))</f>
        <v>Medium</v>
      </c>
      <c r="S103" s="13">
        <f>Table2[[#This Row],[Freight_Cost_NGN]]/Table2[[#This Row],[Distance_km]]</f>
        <v>8127.0729927007296</v>
      </c>
      <c r="T103">
        <v>2</v>
      </c>
      <c r="U103">
        <v>2</v>
      </c>
      <c r="V103" s="14">
        <f>Table2[[#This Row],[Actual_Transit_Days]]-Table2[[#This Row],[Planned_Transit_Days]]</f>
        <v>0</v>
      </c>
      <c r="W103">
        <v>1113409</v>
      </c>
      <c r="X103">
        <v>1082189</v>
      </c>
      <c r="Y103" t="s">
        <v>42</v>
      </c>
      <c r="Z103" s="14">
        <f>IF(Table2[[#This Row],[Delivery_Date]]&lt;=Table2[[#This Row],[Planned_Date]],1,0)</f>
        <v>1</v>
      </c>
      <c r="AA103" s="18">
        <f>Table2[[#This Row],[Units_Damaged]]/Table2[[#This Row],[Units_Shipped]]</f>
        <v>2.5157232704402517E-2</v>
      </c>
      <c r="AB103">
        <f t="shared" si="6"/>
        <v>31220</v>
      </c>
      <c r="AC103" s="17">
        <f t="shared" si="7"/>
        <v>2.8848934890301048E-2</v>
      </c>
    </row>
    <row r="104" spans="1:29" x14ac:dyDescent="0.25">
      <c r="A104" t="s">
        <v>176</v>
      </c>
      <c r="B104" s="1">
        <v>46220</v>
      </c>
      <c r="C104" s="1">
        <v>46092</v>
      </c>
      <c r="D104" t="s">
        <v>35</v>
      </c>
      <c r="E104" t="s">
        <v>45</v>
      </c>
      <c r="F104" t="s">
        <v>46</v>
      </c>
      <c r="G104" t="s">
        <v>64</v>
      </c>
      <c r="H104" t="s">
        <v>65</v>
      </c>
      <c r="I104" t="s">
        <v>58</v>
      </c>
      <c r="J104" t="s">
        <v>59</v>
      </c>
      <c r="K104" s="14" t="str">
        <f t="shared" si="4"/>
        <v>Plateau → Ogun</v>
      </c>
      <c r="L104" t="s">
        <v>60</v>
      </c>
      <c r="M104">
        <v>41</v>
      </c>
      <c r="N104">
        <v>39</v>
      </c>
      <c r="O104">
        <v>2</v>
      </c>
      <c r="P104">
        <v>302</v>
      </c>
      <c r="Q104" s="14" t="str">
        <f t="shared" si="5"/>
        <v>251–500 km</v>
      </c>
      <c r="R104" s="14" t="str">
        <f>IF(Table2[[#This Row],[Distance Bands]]="0–100 km","Short",
IF(Table2[[#This Row],[Distance Bands]]="101–250 km","Medium",
IF(Table2[[#This Row],[Distance Bands]]="251–500 km","Long",
IF(Table2[[#This Row],[Distance Bands]]="501–1,000 km","Very Long",
"Extreme"))))</f>
        <v>Long</v>
      </c>
      <c r="S104" s="13">
        <f>Table2[[#This Row],[Freight_Cost_NGN]]/Table2[[#This Row],[Distance_km]]</f>
        <v>2070.2682119205297</v>
      </c>
      <c r="T104">
        <v>3</v>
      </c>
      <c r="U104">
        <v>3</v>
      </c>
      <c r="V104" s="14">
        <f>Table2[[#This Row],[Actual_Transit_Days]]-Table2[[#This Row],[Planned_Transit_Days]]</f>
        <v>0</v>
      </c>
      <c r="W104">
        <v>625221</v>
      </c>
      <c r="X104">
        <v>671594</v>
      </c>
      <c r="Y104" t="s">
        <v>42</v>
      </c>
      <c r="Z104" s="14">
        <f>IF(Table2[[#This Row],[Delivery_Date]]&lt;=Table2[[#This Row],[Planned_Date]],1,0)</f>
        <v>1</v>
      </c>
      <c r="AA104" s="18">
        <f>Table2[[#This Row],[Units_Damaged]]/Table2[[#This Row],[Units_Shipped]]</f>
        <v>4.878048780487805E-2</v>
      </c>
      <c r="AB104">
        <f t="shared" si="6"/>
        <v>-46373</v>
      </c>
      <c r="AC104" s="17">
        <f t="shared" si="7"/>
        <v>-6.9049157675619491E-2</v>
      </c>
    </row>
    <row r="105" spans="1:29" x14ac:dyDescent="0.25">
      <c r="A105" t="s">
        <v>177</v>
      </c>
      <c r="B105" s="1">
        <v>46221</v>
      </c>
      <c r="C105" s="1">
        <v>46220</v>
      </c>
      <c r="D105" t="s">
        <v>62</v>
      </c>
      <c r="E105" t="s">
        <v>36</v>
      </c>
      <c r="F105" t="s">
        <v>46</v>
      </c>
      <c r="G105" t="s">
        <v>49</v>
      </c>
      <c r="H105" t="s">
        <v>50</v>
      </c>
      <c r="I105" t="s">
        <v>91</v>
      </c>
      <c r="J105" t="s">
        <v>92</v>
      </c>
      <c r="K105" s="14" t="str">
        <f t="shared" si="4"/>
        <v>Niger → Delta</v>
      </c>
      <c r="L105" t="s">
        <v>32</v>
      </c>
      <c r="M105">
        <v>54</v>
      </c>
      <c r="N105">
        <v>53</v>
      </c>
      <c r="O105">
        <v>1</v>
      </c>
      <c r="P105">
        <v>294</v>
      </c>
      <c r="Q105" s="14" t="str">
        <f t="shared" si="5"/>
        <v>251–500 km</v>
      </c>
      <c r="R105" s="14" t="str">
        <f>IF(Table2[[#This Row],[Distance Bands]]="0–100 km","Short",
IF(Table2[[#This Row],[Distance Bands]]="101–250 km","Medium",
IF(Table2[[#This Row],[Distance Bands]]="251–500 km","Long",
IF(Table2[[#This Row],[Distance Bands]]="501–1,000 km","Very Long",
"Extreme"))))</f>
        <v>Long</v>
      </c>
      <c r="S105" s="13">
        <f>Table2[[#This Row],[Freight_Cost_NGN]]/Table2[[#This Row],[Distance_km]]</f>
        <v>2031.9795918367347</v>
      </c>
      <c r="T105">
        <v>1</v>
      </c>
      <c r="U105">
        <v>1</v>
      </c>
      <c r="V105" s="14">
        <f>Table2[[#This Row],[Actual_Transit_Days]]-Table2[[#This Row],[Planned_Transit_Days]]</f>
        <v>0</v>
      </c>
      <c r="W105">
        <v>597402</v>
      </c>
      <c r="X105">
        <v>665371</v>
      </c>
      <c r="Y105" t="s">
        <v>42</v>
      </c>
      <c r="Z105" s="14">
        <f>IF(Table2[[#This Row],[Delivery_Date]]&lt;=Table2[[#This Row],[Planned_Date]],1,0)</f>
        <v>1</v>
      </c>
      <c r="AA105" s="18">
        <f>Table2[[#This Row],[Units_Damaged]]/Table2[[#This Row],[Units_Shipped]]</f>
        <v>1.8518518518518517E-2</v>
      </c>
      <c r="AB105">
        <f t="shared" si="6"/>
        <v>-67969</v>
      </c>
      <c r="AC105" s="17">
        <f t="shared" si="7"/>
        <v>-0.10215203247511538</v>
      </c>
    </row>
    <row r="106" spans="1:29" x14ac:dyDescent="0.25">
      <c r="A106" t="s">
        <v>178</v>
      </c>
      <c r="B106" s="1">
        <v>46222</v>
      </c>
      <c r="C106" s="1">
        <v>46110</v>
      </c>
      <c r="D106" t="s">
        <v>62</v>
      </c>
      <c r="E106" t="s">
        <v>52</v>
      </c>
      <c r="F106" t="s">
        <v>63</v>
      </c>
      <c r="G106" t="s">
        <v>91</v>
      </c>
      <c r="H106" t="s">
        <v>92</v>
      </c>
      <c r="I106" t="s">
        <v>47</v>
      </c>
      <c r="J106" t="s">
        <v>48</v>
      </c>
      <c r="K106" s="14" t="str">
        <f t="shared" si="4"/>
        <v>Delta → Cross River</v>
      </c>
      <c r="L106" t="s">
        <v>41</v>
      </c>
      <c r="M106">
        <v>30</v>
      </c>
      <c r="N106">
        <v>29</v>
      </c>
      <c r="O106">
        <v>1</v>
      </c>
      <c r="P106">
        <v>506</v>
      </c>
      <c r="Q106" s="14" t="str">
        <f t="shared" si="5"/>
        <v>501–1,000 km</v>
      </c>
      <c r="R106" s="14" t="str">
        <f>IF(Table2[[#This Row],[Distance Bands]]="0–100 km","Short",
IF(Table2[[#This Row],[Distance Bands]]="101–250 km","Medium",
IF(Table2[[#This Row],[Distance Bands]]="251–500 km","Long",
IF(Table2[[#This Row],[Distance Bands]]="501–1,000 km","Very Long",
"Extreme"))))</f>
        <v>Very Long</v>
      </c>
      <c r="S106" s="13">
        <f>Table2[[#This Row],[Freight_Cost_NGN]]/Table2[[#This Row],[Distance_km]]</f>
        <v>1213.6363636363637</v>
      </c>
      <c r="T106">
        <v>5</v>
      </c>
      <c r="U106">
        <v>5</v>
      </c>
      <c r="V106" s="14">
        <f>Table2[[#This Row],[Actual_Transit_Days]]-Table2[[#This Row],[Planned_Transit_Days]]</f>
        <v>0</v>
      </c>
      <c r="W106">
        <v>614100</v>
      </c>
      <c r="X106">
        <v>687438</v>
      </c>
      <c r="Y106" t="s">
        <v>42</v>
      </c>
      <c r="Z106" s="14">
        <f>IF(Table2[[#This Row],[Delivery_Date]]&lt;=Table2[[#This Row],[Planned_Date]],1,0)</f>
        <v>1</v>
      </c>
      <c r="AA106" s="18">
        <f>Table2[[#This Row],[Units_Damaged]]/Table2[[#This Row],[Units_Shipped]]</f>
        <v>3.3333333333333333E-2</v>
      </c>
      <c r="AB106">
        <f t="shared" si="6"/>
        <v>-73338</v>
      </c>
      <c r="AC106" s="17">
        <f t="shared" si="7"/>
        <v>-0.10668307541916508</v>
      </c>
    </row>
    <row r="107" spans="1:29" x14ac:dyDescent="0.25">
      <c r="A107" t="s">
        <v>179</v>
      </c>
      <c r="B107" s="1">
        <v>46223</v>
      </c>
      <c r="C107" s="1">
        <v>46150</v>
      </c>
      <c r="D107" t="s">
        <v>62</v>
      </c>
      <c r="E107" t="s">
        <v>36</v>
      </c>
      <c r="F107" t="s">
        <v>53</v>
      </c>
      <c r="G107" t="s">
        <v>68</v>
      </c>
      <c r="H107" t="s">
        <v>69</v>
      </c>
      <c r="I107" t="s">
        <v>80</v>
      </c>
      <c r="J107" t="s">
        <v>80</v>
      </c>
      <c r="K107" s="14" t="str">
        <f t="shared" si="4"/>
        <v>Abia → Enugu</v>
      </c>
      <c r="L107" t="s">
        <v>60</v>
      </c>
      <c r="M107">
        <v>88</v>
      </c>
      <c r="N107">
        <v>87</v>
      </c>
      <c r="O107">
        <v>1</v>
      </c>
      <c r="P107">
        <v>46</v>
      </c>
      <c r="Q107" s="14" t="str">
        <f t="shared" si="5"/>
        <v>0–100 km</v>
      </c>
      <c r="R107" s="14" t="str">
        <f>IF(Table2[[#This Row],[Distance Bands]]="0–100 km","Short",
IF(Table2[[#This Row],[Distance Bands]]="101–250 km","Medium",
IF(Table2[[#This Row],[Distance Bands]]="251–500 km","Long",
IF(Table2[[#This Row],[Distance Bands]]="501–1,000 km","Very Long",
"Extreme"))))</f>
        <v>Short</v>
      </c>
      <c r="S107" s="13">
        <f>Table2[[#This Row],[Freight_Cost_NGN]]/Table2[[#This Row],[Distance_km]]</f>
        <v>19776.695652173912</v>
      </c>
      <c r="T107">
        <v>5</v>
      </c>
      <c r="U107">
        <v>8</v>
      </c>
      <c r="V107" s="14">
        <f>Table2[[#This Row],[Actual_Transit_Days]]-Table2[[#This Row],[Planned_Transit_Days]]</f>
        <v>3</v>
      </c>
      <c r="W107">
        <v>909728</v>
      </c>
      <c r="X107">
        <v>1009955</v>
      </c>
      <c r="Y107" t="s">
        <v>33</v>
      </c>
      <c r="Z107" s="14">
        <f>IF(Table2[[#This Row],[Delivery_Date]]&lt;=Table2[[#This Row],[Planned_Date]],1,0)</f>
        <v>1</v>
      </c>
      <c r="AA107" s="18">
        <f>Table2[[#This Row],[Units_Damaged]]/Table2[[#This Row],[Units_Shipped]]</f>
        <v>1.1363636363636364E-2</v>
      </c>
      <c r="AB107">
        <f t="shared" si="6"/>
        <v>-100227</v>
      </c>
      <c r="AC107" s="17">
        <f t="shared" si="7"/>
        <v>-9.9239075008292446E-2</v>
      </c>
    </row>
    <row r="108" spans="1:29" x14ac:dyDescent="0.25">
      <c r="A108" t="s">
        <v>180</v>
      </c>
      <c r="B108" s="1">
        <v>46224</v>
      </c>
      <c r="C108" s="1">
        <v>46214</v>
      </c>
      <c r="D108" t="s">
        <v>77</v>
      </c>
      <c r="E108" t="s">
        <v>67</v>
      </c>
      <c r="F108" t="s">
        <v>53</v>
      </c>
      <c r="G108" t="s">
        <v>91</v>
      </c>
      <c r="H108" t="s">
        <v>92</v>
      </c>
      <c r="I108" t="s">
        <v>73</v>
      </c>
      <c r="J108" t="s">
        <v>74</v>
      </c>
      <c r="K108" s="14" t="str">
        <f t="shared" si="4"/>
        <v>Delta → Oyo</v>
      </c>
      <c r="L108" t="s">
        <v>32</v>
      </c>
      <c r="M108">
        <v>62</v>
      </c>
      <c r="N108">
        <v>62</v>
      </c>
      <c r="O108">
        <v>0</v>
      </c>
      <c r="P108">
        <v>551</v>
      </c>
      <c r="Q108" s="14" t="str">
        <f t="shared" si="5"/>
        <v>501–1,000 km</v>
      </c>
      <c r="R108" s="14" t="str">
        <f>IF(Table2[[#This Row],[Distance Bands]]="0–100 km","Short",
IF(Table2[[#This Row],[Distance Bands]]="101–250 km","Medium",
IF(Table2[[#This Row],[Distance Bands]]="251–500 km","Long",
IF(Table2[[#This Row],[Distance Bands]]="501–1,000 km","Very Long",
"Extreme"))))</f>
        <v>Very Long</v>
      </c>
      <c r="S108" s="13">
        <f>Table2[[#This Row],[Freight_Cost_NGN]]/Table2[[#This Row],[Distance_km]]</f>
        <v>1041.1470054446461</v>
      </c>
      <c r="T108">
        <v>3</v>
      </c>
      <c r="U108">
        <v>3</v>
      </c>
      <c r="V108" s="14">
        <f>Table2[[#This Row],[Actual_Transit_Days]]-Table2[[#This Row],[Planned_Transit_Days]]</f>
        <v>0</v>
      </c>
      <c r="W108">
        <v>573672</v>
      </c>
      <c r="X108">
        <v>531350</v>
      </c>
      <c r="Y108" t="s">
        <v>42</v>
      </c>
      <c r="Z108" s="14">
        <f>IF(Table2[[#This Row],[Delivery_Date]]&lt;=Table2[[#This Row],[Planned_Date]],1,0)</f>
        <v>1</v>
      </c>
      <c r="AA108" s="18">
        <f>Table2[[#This Row],[Units_Damaged]]/Table2[[#This Row],[Units_Shipped]]</f>
        <v>0</v>
      </c>
      <c r="AB108">
        <f t="shared" si="6"/>
        <v>42322</v>
      </c>
      <c r="AC108" s="17">
        <f t="shared" si="7"/>
        <v>7.9649948245036226E-2</v>
      </c>
    </row>
    <row r="109" spans="1:29" x14ac:dyDescent="0.25">
      <c r="A109" t="s">
        <v>181</v>
      </c>
      <c r="B109" s="1">
        <v>46225</v>
      </c>
      <c r="C109" s="1">
        <v>46092</v>
      </c>
      <c r="D109" t="s">
        <v>62</v>
      </c>
      <c r="E109" t="s">
        <v>85</v>
      </c>
      <c r="F109" t="s">
        <v>53</v>
      </c>
      <c r="G109" t="s">
        <v>80</v>
      </c>
      <c r="H109" t="s">
        <v>80</v>
      </c>
      <c r="I109" t="s">
        <v>38</v>
      </c>
      <c r="J109" t="s">
        <v>38</v>
      </c>
      <c r="K109" s="14" t="str">
        <f t="shared" si="4"/>
        <v>Enugu → Kano</v>
      </c>
      <c r="L109" t="s">
        <v>41</v>
      </c>
      <c r="M109">
        <v>57</v>
      </c>
      <c r="N109">
        <v>55</v>
      </c>
      <c r="O109">
        <v>2</v>
      </c>
      <c r="P109">
        <v>544</v>
      </c>
      <c r="Q109" s="14" t="str">
        <f t="shared" si="5"/>
        <v>501–1,000 km</v>
      </c>
      <c r="R109" s="14" t="str">
        <f>IF(Table2[[#This Row],[Distance Bands]]="0–100 km","Short",
IF(Table2[[#This Row],[Distance Bands]]="101–250 km","Medium",
IF(Table2[[#This Row],[Distance Bands]]="251–500 km","Long",
IF(Table2[[#This Row],[Distance Bands]]="501–1,000 km","Very Long",
"Extreme"))))</f>
        <v>Very Long</v>
      </c>
      <c r="S109" s="13">
        <f>Table2[[#This Row],[Freight_Cost_NGN]]/Table2[[#This Row],[Distance_km]]</f>
        <v>1567.6801470588234</v>
      </c>
      <c r="T109">
        <v>2</v>
      </c>
      <c r="U109">
        <v>6</v>
      </c>
      <c r="V109" s="14">
        <f>Table2[[#This Row],[Actual_Transit_Days]]-Table2[[#This Row],[Planned_Transit_Days]]</f>
        <v>4</v>
      </c>
      <c r="W109">
        <v>852818</v>
      </c>
      <c r="X109">
        <v>928681</v>
      </c>
      <c r="Y109" t="s">
        <v>75</v>
      </c>
      <c r="Z109" s="14">
        <f>IF(Table2[[#This Row],[Delivery_Date]]&lt;=Table2[[#This Row],[Planned_Date]],1,0)</f>
        <v>1</v>
      </c>
      <c r="AA109" s="18">
        <f>Table2[[#This Row],[Units_Damaged]]/Table2[[#This Row],[Units_Shipped]]</f>
        <v>3.5087719298245612E-2</v>
      </c>
      <c r="AB109">
        <f t="shared" si="6"/>
        <v>-75863</v>
      </c>
      <c r="AC109" s="17">
        <f t="shared" si="7"/>
        <v>-8.1688976085437306E-2</v>
      </c>
    </row>
    <row r="110" spans="1:29" x14ac:dyDescent="0.25">
      <c r="A110" t="s">
        <v>182</v>
      </c>
      <c r="B110" s="1">
        <v>46226</v>
      </c>
      <c r="C110" s="1">
        <v>46180</v>
      </c>
      <c r="D110" t="s">
        <v>77</v>
      </c>
      <c r="E110" t="s">
        <v>57</v>
      </c>
      <c r="F110" t="s">
        <v>63</v>
      </c>
      <c r="G110" t="s">
        <v>49</v>
      </c>
      <c r="H110" t="s">
        <v>50</v>
      </c>
      <c r="I110" t="s">
        <v>73</v>
      </c>
      <c r="J110" t="s">
        <v>74</v>
      </c>
      <c r="K110" s="14" t="str">
        <f t="shared" si="4"/>
        <v>Niger → Oyo</v>
      </c>
      <c r="L110" t="s">
        <v>41</v>
      </c>
      <c r="M110">
        <v>21</v>
      </c>
      <c r="N110">
        <v>20</v>
      </c>
      <c r="O110">
        <v>1</v>
      </c>
      <c r="P110">
        <v>260</v>
      </c>
      <c r="Q110" s="14" t="str">
        <f t="shared" si="5"/>
        <v>251–500 km</v>
      </c>
      <c r="R110" s="14" t="str">
        <f>IF(Table2[[#This Row],[Distance Bands]]="0–100 km","Short",
IF(Table2[[#This Row],[Distance Bands]]="101–250 km","Medium",
IF(Table2[[#This Row],[Distance Bands]]="251–500 km","Long",
IF(Table2[[#This Row],[Distance Bands]]="501–1,000 km","Very Long",
"Extreme"))))</f>
        <v>Long</v>
      </c>
      <c r="S110" s="13">
        <f>Table2[[#This Row],[Freight_Cost_NGN]]/Table2[[#This Row],[Distance_km]]</f>
        <v>891.90384615384619</v>
      </c>
      <c r="T110">
        <v>5</v>
      </c>
      <c r="U110">
        <v>6</v>
      </c>
      <c r="V110" s="14">
        <f>Table2[[#This Row],[Actual_Transit_Days]]-Table2[[#This Row],[Planned_Transit_Days]]</f>
        <v>1</v>
      </c>
      <c r="W110">
        <v>231895</v>
      </c>
      <c r="X110">
        <v>239242</v>
      </c>
      <c r="Y110" t="s">
        <v>33</v>
      </c>
      <c r="Z110" s="14">
        <f>IF(Table2[[#This Row],[Delivery_Date]]&lt;=Table2[[#This Row],[Planned_Date]],1,0)</f>
        <v>1</v>
      </c>
      <c r="AA110" s="18">
        <f>Table2[[#This Row],[Units_Damaged]]/Table2[[#This Row],[Units_Shipped]]</f>
        <v>4.7619047619047616E-2</v>
      </c>
      <c r="AB110">
        <f t="shared" si="6"/>
        <v>-7347</v>
      </c>
      <c r="AC110" s="17">
        <f t="shared" si="7"/>
        <v>-3.0709490808470085E-2</v>
      </c>
    </row>
    <row r="111" spans="1:29" x14ac:dyDescent="0.25">
      <c r="A111" t="s">
        <v>183</v>
      </c>
      <c r="B111" s="1">
        <v>46227</v>
      </c>
      <c r="C111" s="1">
        <v>46127</v>
      </c>
      <c r="D111" t="s">
        <v>35</v>
      </c>
      <c r="E111" t="s">
        <v>85</v>
      </c>
      <c r="F111" t="s">
        <v>37</v>
      </c>
      <c r="G111" t="s">
        <v>88</v>
      </c>
      <c r="H111" t="s">
        <v>89</v>
      </c>
      <c r="I111" t="s">
        <v>58</v>
      </c>
      <c r="J111" t="s">
        <v>59</v>
      </c>
      <c r="K111" s="14" t="str">
        <f t="shared" si="4"/>
        <v>Edo → Ogun</v>
      </c>
      <c r="L111" t="s">
        <v>60</v>
      </c>
      <c r="M111">
        <v>76</v>
      </c>
      <c r="N111">
        <v>73</v>
      </c>
      <c r="O111">
        <v>3</v>
      </c>
      <c r="P111">
        <v>813</v>
      </c>
      <c r="Q111" s="14" t="str">
        <f t="shared" si="5"/>
        <v>501–1,000 km</v>
      </c>
      <c r="R111" s="14" t="str">
        <f>IF(Table2[[#This Row],[Distance Bands]]="0–100 km","Short",
IF(Table2[[#This Row],[Distance Bands]]="101–250 km","Medium",
IF(Table2[[#This Row],[Distance Bands]]="251–500 km","Long",
IF(Table2[[#This Row],[Distance Bands]]="501–1,000 km","Very Long",
"Extreme"))))</f>
        <v>Very Long</v>
      </c>
      <c r="S111" s="13">
        <f>Table2[[#This Row],[Freight_Cost_NGN]]/Table2[[#This Row],[Distance_km]]</f>
        <v>1680.980319803198</v>
      </c>
      <c r="T111">
        <v>3</v>
      </c>
      <c r="U111">
        <v>13</v>
      </c>
      <c r="V111" s="14">
        <f>Table2[[#This Row],[Actual_Transit_Days]]-Table2[[#This Row],[Planned_Transit_Days]]</f>
        <v>10</v>
      </c>
      <c r="W111">
        <v>1366637</v>
      </c>
      <c r="X111">
        <v>1365419</v>
      </c>
      <c r="Y111" t="s">
        <v>75</v>
      </c>
      <c r="Z111" s="14">
        <f>IF(Table2[[#This Row],[Delivery_Date]]&lt;=Table2[[#This Row],[Planned_Date]],1,0)</f>
        <v>1</v>
      </c>
      <c r="AA111" s="18">
        <f>Table2[[#This Row],[Units_Damaged]]/Table2[[#This Row],[Units_Shipped]]</f>
        <v>3.9473684210526314E-2</v>
      </c>
      <c r="AB111">
        <f t="shared" si="6"/>
        <v>1218</v>
      </c>
      <c r="AC111" s="17">
        <f t="shared" si="7"/>
        <v>8.9203387385117683E-4</v>
      </c>
    </row>
    <row r="112" spans="1:29" x14ac:dyDescent="0.25">
      <c r="A112" t="s">
        <v>184</v>
      </c>
      <c r="B112" s="1">
        <v>46228</v>
      </c>
      <c r="C112" s="1">
        <v>46116</v>
      </c>
      <c r="D112" t="s">
        <v>44</v>
      </c>
      <c r="E112" t="s">
        <v>85</v>
      </c>
      <c r="F112" t="s">
        <v>28</v>
      </c>
      <c r="G112" t="s">
        <v>91</v>
      </c>
      <c r="H112" t="s">
        <v>92</v>
      </c>
      <c r="I112" t="s">
        <v>73</v>
      </c>
      <c r="J112" t="s">
        <v>74</v>
      </c>
      <c r="K112" s="14" t="str">
        <f t="shared" si="4"/>
        <v>Delta → Oyo</v>
      </c>
      <c r="L112" t="s">
        <v>32</v>
      </c>
      <c r="M112">
        <v>50</v>
      </c>
      <c r="N112">
        <v>49</v>
      </c>
      <c r="O112">
        <v>1</v>
      </c>
      <c r="P112">
        <v>696</v>
      </c>
      <c r="Q112" s="14" t="str">
        <f t="shared" si="5"/>
        <v>501–1,000 km</v>
      </c>
      <c r="R112" s="14" t="str">
        <f>IF(Table2[[#This Row],[Distance Bands]]="0–100 km","Short",
IF(Table2[[#This Row],[Distance Bands]]="101–250 km","Medium",
IF(Table2[[#This Row],[Distance Bands]]="251–500 km","Long",
IF(Table2[[#This Row],[Distance Bands]]="501–1,000 km","Very Long",
"Extreme"))))</f>
        <v>Very Long</v>
      </c>
      <c r="S112" s="13">
        <f>Table2[[#This Row],[Freight_Cost_NGN]]/Table2[[#This Row],[Distance_km]]</f>
        <v>1413.2385057471265</v>
      </c>
      <c r="T112">
        <v>2</v>
      </c>
      <c r="U112">
        <v>2</v>
      </c>
      <c r="V112" s="14">
        <f>Table2[[#This Row],[Actual_Transit_Days]]-Table2[[#This Row],[Planned_Transit_Days]]</f>
        <v>0</v>
      </c>
      <c r="W112">
        <v>983614</v>
      </c>
      <c r="X112">
        <v>1026530</v>
      </c>
      <c r="Y112" t="s">
        <v>42</v>
      </c>
      <c r="Z112" s="14">
        <f>IF(Table2[[#This Row],[Delivery_Date]]&lt;=Table2[[#This Row],[Planned_Date]],1,0)</f>
        <v>1</v>
      </c>
      <c r="AA112" s="18">
        <f>Table2[[#This Row],[Units_Damaged]]/Table2[[#This Row],[Units_Shipped]]</f>
        <v>0.02</v>
      </c>
      <c r="AB112">
        <f t="shared" si="6"/>
        <v>-42916</v>
      </c>
      <c r="AC112" s="17">
        <f t="shared" si="7"/>
        <v>-4.1806863900714059E-2</v>
      </c>
    </row>
    <row r="113" spans="1:29" x14ac:dyDescent="0.25">
      <c r="A113" t="s">
        <v>185</v>
      </c>
      <c r="B113" s="1">
        <v>46229</v>
      </c>
      <c r="C113" s="1">
        <v>46036</v>
      </c>
      <c r="D113" t="s">
        <v>77</v>
      </c>
      <c r="E113" t="s">
        <v>52</v>
      </c>
      <c r="F113" t="s">
        <v>37</v>
      </c>
      <c r="G113" t="s">
        <v>39</v>
      </c>
      <c r="H113" t="s">
        <v>40</v>
      </c>
      <c r="I113" t="s">
        <v>72</v>
      </c>
      <c r="J113" t="s">
        <v>72</v>
      </c>
      <c r="K113" s="14" t="str">
        <f t="shared" si="4"/>
        <v>Anambra → Lagos</v>
      </c>
      <c r="L113" t="s">
        <v>41</v>
      </c>
      <c r="M113">
        <v>81</v>
      </c>
      <c r="N113">
        <v>78</v>
      </c>
      <c r="O113">
        <v>3</v>
      </c>
      <c r="P113">
        <v>140</v>
      </c>
      <c r="Q113" s="14" t="str">
        <f t="shared" si="5"/>
        <v>101–250 km</v>
      </c>
      <c r="R113" s="14" t="str">
        <f>IF(Table2[[#This Row],[Distance Bands]]="0–100 km","Short",
IF(Table2[[#This Row],[Distance Bands]]="101–250 km","Medium",
IF(Table2[[#This Row],[Distance Bands]]="251–500 km","Long",
IF(Table2[[#This Row],[Distance Bands]]="501–1,000 km","Very Long",
"Extreme"))))</f>
        <v>Medium</v>
      </c>
      <c r="S113" s="13">
        <f>Table2[[#This Row],[Freight_Cost_NGN]]/Table2[[#This Row],[Distance_km]]</f>
        <v>7690.5214285714283</v>
      </c>
      <c r="T113">
        <v>4</v>
      </c>
      <c r="U113">
        <v>8</v>
      </c>
      <c r="V113" s="14">
        <f>Table2[[#This Row],[Actual_Transit_Days]]-Table2[[#This Row],[Planned_Transit_Days]]</f>
        <v>4</v>
      </c>
      <c r="W113">
        <v>1076673</v>
      </c>
      <c r="X113">
        <v>1059897</v>
      </c>
      <c r="Y113" t="s">
        <v>75</v>
      </c>
      <c r="Z113" s="14">
        <f>IF(Table2[[#This Row],[Delivery_Date]]&lt;=Table2[[#This Row],[Planned_Date]],1,0)</f>
        <v>1</v>
      </c>
      <c r="AA113" s="18">
        <f>Table2[[#This Row],[Units_Damaged]]/Table2[[#This Row],[Units_Shipped]]</f>
        <v>3.7037037037037035E-2</v>
      </c>
      <c r="AB113">
        <f t="shared" si="6"/>
        <v>16776</v>
      </c>
      <c r="AC113" s="17">
        <f t="shared" si="7"/>
        <v>1.5827953093555319E-2</v>
      </c>
    </row>
    <row r="114" spans="1:29" x14ac:dyDescent="0.25">
      <c r="A114" t="s">
        <v>186</v>
      </c>
      <c r="B114" s="1">
        <v>46230</v>
      </c>
      <c r="C114" s="1">
        <v>46155</v>
      </c>
      <c r="D114" t="s">
        <v>44</v>
      </c>
      <c r="E114" t="s">
        <v>45</v>
      </c>
      <c r="F114" t="s">
        <v>53</v>
      </c>
      <c r="G114" t="s">
        <v>68</v>
      </c>
      <c r="H114" t="s">
        <v>69</v>
      </c>
      <c r="I114" t="s">
        <v>73</v>
      </c>
      <c r="J114" t="s">
        <v>74</v>
      </c>
      <c r="K114" s="14" t="str">
        <f t="shared" si="4"/>
        <v>Abia → Oyo</v>
      </c>
      <c r="L114" t="s">
        <v>32</v>
      </c>
      <c r="M114">
        <v>107</v>
      </c>
      <c r="N114">
        <v>104</v>
      </c>
      <c r="O114">
        <v>3</v>
      </c>
      <c r="P114">
        <v>247</v>
      </c>
      <c r="Q114" s="14" t="str">
        <f t="shared" si="5"/>
        <v>101–250 km</v>
      </c>
      <c r="R114" s="14" t="str">
        <f>IF(Table2[[#This Row],[Distance Bands]]="0–100 km","Short",
IF(Table2[[#This Row],[Distance Bands]]="101–250 km","Medium",
IF(Table2[[#This Row],[Distance Bands]]="251–500 km","Long",
IF(Table2[[#This Row],[Distance Bands]]="501–1,000 km","Very Long",
"Extreme"))))</f>
        <v>Medium</v>
      </c>
      <c r="S114" s="13">
        <f>Table2[[#This Row],[Freight_Cost_NGN]]/Table2[[#This Row],[Distance_km]]</f>
        <v>6311.5263157894733</v>
      </c>
      <c r="T114">
        <v>1</v>
      </c>
      <c r="U114">
        <v>6</v>
      </c>
      <c r="V114" s="14">
        <f>Table2[[#This Row],[Actual_Transit_Days]]-Table2[[#This Row],[Planned_Transit_Days]]</f>
        <v>5</v>
      </c>
      <c r="W114">
        <v>1558947</v>
      </c>
      <c r="X114">
        <v>1655308</v>
      </c>
      <c r="Y114" t="s">
        <v>75</v>
      </c>
      <c r="Z114" s="14">
        <f>IF(Table2[[#This Row],[Delivery_Date]]&lt;=Table2[[#This Row],[Planned_Date]],1,0)</f>
        <v>1</v>
      </c>
      <c r="AA114" s="18">
        <f>Table2[[#This Row],[Units_Damaged]]/Table2[[#This Row],[Units_Shipped]]</f>
        <v>2.8037383177570093E-2</v>
      </c>
      <c r="AB114">
        <f t="shared" si="6"/>
        <v>-96361</v>
      </c>
      <c r="AC114" s="17">
        <f t="shared" si="7"/>
        <v>-5.821333552426497E-2</v>
      </c>
    </row>
    <row r="115" spans="1:29" x14ac:dyDescent="0.25">
      <c r="A115" t="s">
        <v>187</v>
      </c>
      <c r="B115" s="1">
        <v>46231</v>
      </c>
      <c r="C115" s="1">
        <v>46159</v>
      </c>
      <c r="D115" t="s">
        <v>77</v>
      </c>
      <c r="E115" t="s">
        <v>27</v>
      </c>
      <c r="F115" t="s">
        <v>46</v>
      </c>
      <c r="G115" t="s">
        <v>54</v>
      </c>
      <c r="H115" t="s">
        <v>55</v>
      </c>
      <c r="I115" t="s">
        <v>47</v>
      </c>
      <c r="J115" t="s">
        <v>48</v>
      </c>
      <c r="K115" s="14" t="str">
        <f t="shared" si="4"/>
        <v>Rivers → Cross River</v>
      </c>
      <c r="L115" t="s">
        <v>41</v>
      </c>
      <c r="M115">
        <v>136</v>
      </c>
      <c r="N115">
        <v>130</v>
      </c>
      <c r="O115">
        <v>6</v>
      </c>
      <c r="P115">
        <v>414</v>
      </c>
      <c r="Q115" s="14" t="str">
        <f t="shared" si="5"/>
        <v>251–500 km</v>
      </c>
      <c r="R115" s="14" t="str">
        <f>IF(Table2[[#This Row],[Distance Bands]]="0–100 km","Short",
IF(Table2[[#This Row],[Distance Bands]]="101–250 km","Medium",
IF(Table2[[#This Row],[Distance Bands]]="251–500 km","Long",
IF(Table2[[#This Row],[Distance Bands]]="501–1,000 km","Very Long",
"Extreme"))))</f>
        <v>Long</v>
      </c>
      <c r="S115" s="13">
        <f>Table2[[#This Row],[Freight_Cost_NGN]]/Table2[[#This Row],[Distance_km]]</f>
        <v>2044.159420289855</v>
      </c>
      <c r="T115">
        <v>2</v>
      </c>
      <c r="U115">
        <v>6</v>
      </c>
      <c r="V115" s="14">
        <f>Table2[[#This Row],[Actual_Transit_Days]]-Table2[[#This Row],[Planned_Transit_Days]]</f>
        <v>4</v>
      </c>
      <c r="W115">
        <v>846282</v>
      </c>
      <c r="X115">
        <v>859975</v>
      </c>
      <c r="Y115" t="s">
        <v>75</v>
      </c>
      <c r="Z115" s="14">
        <f>IF(Table2[[#This Row],[Delivery_Date]]&lt;=Table2[[#This Row],[Planned_Date]],1,0)</f>
        <v>1</v>
      </c>
      <c r="AA115" s="18">
        <f>Table2[[#This Row],[Units_Damaged]]/Table2[[#This Row],[Units_Shipped]]</f>
        <v>4.4117647058823532E-2</v>
      </c>
      <c r="AB115">
        <f t="shared" si="6"/>
        <v>-13693</v>
      </c>
      <c r="AC115" s="17">
        <f t="shared" si="7"/>
        <v>-1.5922555888252567E-2</v>
      </c>
    </row>
    <row r="116" spans="1:29" x14ac:dyDescent="0.25">
      <c r="A116" t="s">
        <v>188</v>
      </c>
      <c r="B116" s="1">
        <v>46232</v>
      </c>
      <c r="C116" s="1">
        <v>46151</v>
      </c>
      <c r="D116" t="s">
        <v>26</v>
      </c>
      <c r="E116" t="s">
        <v>67</v>
      </c>
      <c r="F116" t="s">
        <v>37</v>
      </c>
      <c r="G116" t="s">
        <v>68</v>
      </c>
      <c r="H116" t="s">
        <v>69</v>
      </c>
      <c r="I116" t="s">
        <v>73</v>
      </c>
      <c r="J116" t="s">
        <v>74</v>
      </c>
      <c r="K116" s="14" t="str">
        <f t="shared" si="4"/>
        <v>Abia → Oyo</v>
      </c>
      <c r="L116" t="s">
        <v>41</v>
      </c>
      <c r="M116">
        <v>140</v>
      </c>
      <c r="N116">
        <v>138</v>
      </c>
      <c r="O116">
        <v>2</v>
      </c>
      <c r="P116">
        <v>757</v>
      </c>
      <c r="Q116" s="14" t="str">
        <f t="shared" si="5"/>
        <v>501–1,000 km</v>
      </c>
      <c r="R116" s="14" t="str">
        <f>IF(Table2[[#This Row],[Distance Bands]]="0–100 km","Short",
IF(Table2[[#This Row],[Distance Bands]]="101–250 km","Medium",
IF(Table2[[#This Row],[Distance Bands]]="251–500 km","Long",
IF(Table2[[#This Row],[Distance Bands]]="501–1,000 km","Very Long",
"Extreme"))))</f>
        <v>Very Long</v>
      </c>
      <c r="S116" s="13">
        <f>Table2[[#This Row],[Freight_Cost_NGN]]/Table2[[#This Row],[Distance_km]]</f>
        <v>1599.9524438573317</v>
      </c>
      <c r="T116">
        <v>3</v>
      </c>
      <c r="U116">
        <v>3</v>
      </c>
      <c r="V116" s="14">
        <f>Table2[[#This Row],[Actual_Transit_Days]]-Table2[[#This Row],[Planned_Transit_Days]]</f>
        <v>0</v>
      </c>
      <c r="W116">
        <v>1211164</v>
      </c>
      <c r="X116">
        <v>1124847</v>
      </c>
      <c r="Y116" t="s">
        <v>42</v>
      </c>
      <c r="Z116" s="14">
        <f>IF(Table2[[#This Row],[Delivery_Date]]&lt;=Table2[[#This Row],[Planned_Date]],1,0)</f>
        <v>1</v>
      </c>
      <c r="AA116" s="18">
        <f>Table2[[#This Row],[Units_Damaged]]/Table2[[#This Row],[Units_Shipped]]</f>
        <v>1.4285714285714285E-2</v>
      </c>
      <c r="AB116">
        <f t="shared" si="6"/>
        <v>86317</v>
      </c>
      <c r="AC116" s="17">
        <f t="shared" si="7"/>
        <v>7.6736658407765682E-2</v>
      </c>
    </row>
    <row r="117" spans="1:29" x14ac:dyDescent="0.25">
      <c r="A117" t="s">
        <v>189</v>
      </c>
      <c r="B117" s="1">
        <v>46233</v>
      </c>
      <c r="C117" s="1">
        <v>46127</v>
      </c>
      <c r="D117" t="s">
        <v>44</v>
      </c>
      <c r="E117" t="s">
        <v>27</v>
      </c>
      <c r="F117" t="s">
        <v>53</v>
      </c>
      <c r="G117" t="s">
        <v>91</v>
      </c>
      <c r="H117" t="s">
        <v>92</v>
      </c>
      <c r="I117" t="s">
        <v>88</v>
      </c>
      <c r="J117" t="s">
        <v>89</v>
      </c>
      <c r="K117" s="14" t="str">
        <f t="shared" si="4"/>
        <v>Delta → Edo</v>
      </c>
      <c r="L117" t="s">
        <v>32</v>
      </c>
      <c r="M117">
        <v>39</v>
      </c>
      <c r="N117">
        <v>38</v>
      </c>
      <c r="O117">
        <v>1</v>
      </c>
      <c r="P117">
        <v>469</v>
      </c>
      <c r="Q117" s="14" t="str">
        <f t="shared" si="5"/>
        <v>251–500 km</v>
      </c>
      <c r="R117" s="14" t="str">
        <f>IF(Table2[[#This Row],[Distance Bands]]="0–100 km","Short",
IF(Table2[[#This Row],[Distance Bands]]="101–250 km","Medium",
IF(Table2[[#This Row],[Distance Bands]]="251–500 km","Long",
IF(Table2[[#This Row],[Distance Bands]]="501–1,000 km","Very Long",
"Extreme"))))</f>
        <v>Long</v>
      </c>
      <c r="S117" s="13">
        <f>Table2[[#This Row],[Freight_Cost_NGN]]/Table2[[#This Row],[Distance_km]]</f>
        <v>1479.7590618336887</v>
      </c>
      <c r="T117">
        <v>4</v>
      </c>
      <c r="U117">
        <v>5</v>
      </c>
      <c r="V117" s="14">
        <f>Table2[[#This Row],[Actual_Transit_Days]]-Table2[[#This Row],[Planned_Transit_Days]]</f>
        <v>1</v>
      </c>
      <c r="W117">
        <v>694007</v>
      </c>
      <c r="X117">
        <v>642741</v>
      </c>
      <c r="Y117" t="s">
        <v>33</v>
      </c>
      <c r="Z117" s="14">
        <f>IF(Table2[[#This Row],[Delivery_Date]]&lt;=Table2[[#This Row],[Planned_Date]],1,0)</f>
        <v>1</v>
      </c>
      <c r="AA117" s="18">
        <f>Table2[[#This Row],[Units_Damaged]]/Table2[[#This Row],[Units_Shipped]]</f>
        <v>2.564102564102564E-2</v>
      </c>
      <c r="AB117">
        <f t="shared" si="6"/>
        <v>51266</v>
      </c>
      <c r="AC117" s="17">
        <f t="shared" si="7"/>
        <v>7.9761521359303353E-2</v>
      </c>
    </row>
    <row r="118" spans="1:29" x14ac:dyDescent="0.25">
      <c r="A118" t="s">
        <v>190</v>
      </c>
      <c r="B118" s="1">
        <v>46234</v>
      </c>
      <c r="C118" s="1">
        <v>46259</v>
      </c>
      <c r="D118" t="s">
        <v>62</v>
      </c>
      <c r="E118" t="s">
        <v>67</v>
      </c>
      <c r="F118" t="s">
        <v>53</v>
      </c>
      <c r="G118" t="s">
        <v>88</v>
      </c>
      <c r="H118" t="s">
        <v>89</v>
      </c>
      <c r="I118" t="s">
        <v>30</v>
      </c>
      <c r="J118" t="s">
        <v>31</v>
      </c>
      <c r="K118" s="14" t="str">
        <f t="shared" si="4"/>
        <v>Edo → Kwara</v>
      </c>
      <c r="L118" t="s">
        <v>41</v>
      </c>
      <c r="M118">
        <v>156</v>
      </c>
      <c r="N118">
        <v>156</v>
      </c>
      <c r="O118">
        <v>0</v>
      </c>
      <c r="P118">
        <v>586</v>
      </c>
      <c r="Q118" s="14" t="str">
        <f t="shared" si="5"/>
        <v>501–1,000 km</v>
      </c>
      <c r="R118" s="14" t="str">
        <f>IF(Table2[[#This Row],[Distance Bands]]="0–100 km","Short",
IF(Table2[[#This Row],[Distance Bands]]="101–250 km","Medium",
IF(Table2[[#This Row],[Distance Bands]]="251–500 km","Long",
IF(Table2[[#This Row],[Distance Bands]]="501–1,000 km","Very Long",
"Extreme"))))</f>
        <v>Very Long</v>
      </c>
      <c r="S118" s="13">
        <f>Table2[[#This Row],[Freight_Cost_NGN]]/Table2[[#This Row],[Distance_km]]</f>
        <v>2237.7064846416383</v>
      </c>
      <c r="T118">
        <v>3</v>
      </c>
      <c r="U118">
        <v>13</v>
      </c>
      <c r="V118" s="14">
        <f>Table2[[#This Row],[Actual_Transit_Days]]-Table2[[#This Row],[Planned_Transit_Days]]</f>
        <v>10</v>
      </c>
      <c r="W118">
        <v>1311296</v>
      </c>
      <c r="X118">
        <v>1358155</v>
      </c>
      <c r="Y118" t="s">
        <v>75</v>
      </c>
      <c r="Z118" s="14">
        <f>IF(Table2[[#This Row],[Delivery_Date]]&lt;=Table2[[#This Row],[Planned_Date]],1,0)</f>
        <v>0</v>
      </c>
      <c r="AA118" s="18">
        <f>Table2[[#This Row],[Units_Damaged]]/Table2[[#This Row],[Units_Shipped]]</f>
        <v>0</v>
      </c>
      <c r="AB118">
        <f t="shared" si="6"/>
        <v>-46859</v>
      </c>
      <c r="AC118" s="17">
        <f t="shared" si="7"/>
        <v>-3.4501953017144579E-2</v>
      </c>
    </row>
    <row r="119" spans="1:29" x14ac:dyDescent="0.25">
      <c r="A119" t="s">
        <v>191</v>
      </c>
      <c r="B119" s="1">
        <v>46235</v>
      </c>
      <c r="C119" s="1">
        <v>46195</v>
      </c>
      <c r="D119" t="s">
        <v>57</v>
      </c>
      <c r="E119" t="s">
        <v>67</v>
      </c>
      <c r="F119" t="s">
        <v>53</v>
      </c>
      <c r="G119" t="s">
        <v>58</v>
      </c>
      <c r="H119" t="s">
        <v>59</v>
      </c>
      <c r="I119" t="s">
        <v>47</v>
      </c>
      <c r="J119" t="s">
        <v>48</v>
      </c>
      <c r="K119" s="14" t="str">
        <f t="shared" si="4"/>
        <v>Ogun → Cross River</v>
      </c>
      <c r="L119" t="s">
        <v>32</v>
      </c>
      <c r="M119">
        <v>119</v>
      </c>
      <c r="N119">
        <v>114</v>
      </c>
      <c r="O119">
        <v>5</v>
      </c>
      <c r="P119">
        <v>210</v>
      </c>
      <c r="Q119" s="14" t="str">
        <f t="shared" si="5"/>
        <v>101–250 km</v>
      </c>
      <c r="R119" s="14" t="str">
        <f>IF(Table2[[#This Row],[Distance Bands]]="0–100 km","Short",
IF(Table2[[#This Row],[Distance Bands]]="101–250 km","Medium",
IF(Table2[[#This Row],[Distance Bands]]="251–500 km","Long",
IF(Table2[[#This Row],[Distance Bands]]="501–1,000 km","Very Long",
"Extreme"))))</f>
        <v>Medium</v>
      </c>
      <c r="S119" s="13">
        <f>Table2[[#This Row],[Freight_Cost_NGN]]/Table2[[#This Row],[Distance_km]]</f>
        <v>8185.2333333333336</v>
      </c>
      <c r="T119">
        <v>5</v>
      </c>
      <c r="U119">
        <v>7</v>
      </c>
      <c r="V119" s="14">
        <f>Table2[[#This Row],[Actual_Transit_Days]]-Table2[[#This Row],[Planned_Transit_Days]]</f>
        <v>2</v>
      </c>
      <c r="W119">
        <v>1718899</v>
      </c>
      <c r="X119">
        <v>1653808</v>
      </c>
      <c r="Y119" t="s">
        <v>33</v>
      </c>
      <c r="Z119" s="14">
        <f>IF(Table2[[#This Row],[Delivery_Date]]&lt;=Table2[[#This Row],[Planned_Date]],1,0)</f>
        <v>1</v>
      </c>
      <c r="AA119" s="18">
        <f>Table2[[#This Row],[Units_Damaged]]/Table2[[#This Row],[Units_Shipped]]</f>
        <v>4.2016806722689079E-2</v>
      </c>
      <c r="AB119">
        <f t="shared" si="6"/>
        <v>65091</v>
      </c>
      <c r="AC119" s="17">
        <f t="shared" si="7"/>
        <v>3.9358256823041129E-2</v>
      </c>
    </row>
    <row r="120" spans="1:29" x14ac:dyDescent="0.25">
      <c r="A120" t="s">
        <v>192</v>
      </c>
      <c r="B120" s="1">
        <v>46236</v>
      </c>
      <c r="C120" s="1">
        <v>46077</v>
      </c>
      <c r="D120" t="s">
        <v>26</v>
      </c>
      <c r="E120" t="s">
        <v>85</v>
      </c>
      <c r="F120" t="s">
        <v>46</v>
      </c>
      <c r="G120" t="s">
        <v>54</v>
      </c>
      <c r="H120" t="s">
        <v>55</v>
      </c>
      <c r="I120" t="s">
        <v>29</v>
      </c>
      <c r="J120" t="s">
        <v>29</v>
      </c>
      <c r="K120" s="14" t="str">
        <f t="shared" si="4"/>
        <v>Rivers → Kaduna</v>
      </c>
      <c r="L120" t="s">
        <v>41</v>
      </c>
      <c r="M120">
        <v>123</v>
      </c>
      <c r="N120">
        <v>118</v>
      </c>
      <c r="O120">
        <v>5</v>
      </c>
      <c r="P120">
        <v>317</v>
      </c>
      <c r="Q120" s="14" t="str">
        <f t="shared" si="5"/>
        <v>251–500 km</v>
      </c>
      <c r="R120" s="14" t="str">
        <f>IF(Table2[[#This Row],[Distance Bands]]="0–100 km","Short",
IF(Table2[[#This Row],[Distance Bands]]="101–250 km","Medium",
IF(Table2[[#This Row],[Distance Bands]]="251–500 km","Long",
IF(Table2[[#This Row],[Distance Bands]]="501–1,000 km","Very Long",
"Extreme"))))</f>
        <v>Long</v>
      </c>
      <c r="S120" s="13">
        <f>Table2[[#This Row],[Freight_Cost_NGN]]/Table2[[#This Row],[Distance_km]]</f>
        <v>4016.5394321766562</v>
      </c>
      <c r="T120">
        <v>2</v>
      </c>
      <c r="U120">
        <v>9</v>
      </c>
      <c r="V120" s="14">
        <f>Table2[[#This Row],[Actual_Transit_Days]]-Table2[[#This Row],[Planned_Transit_Days]]</f>
        <v>7</v>
      </c>
      <c r="W120">
        <v>1273243</v>
      </c>
      <c r="X120">
        <v>1196184</v>
      </c>
      <c r="Y120" t="s">
        <v>75</v>
      </c>
      <c r="Z120" s="14">
        <f>IF(Table2[[#This Row],[Delivery_Date]]&lt;=Table2[[#This Row],[Planned_Date]],1,0)</f>
        <v>1</v>
      </c>
      <c r="AA120" s="18">
        <f>Table2[[#This Row],[Units_Damaged]]/Table2[[#This Row],[Units_Shipped]]</f>
        <v>4.065040650406504E-2</v>
      </c>
      <c r="AB120">
        <f t="shared" si="6"/>
        <v>77059</v>
      </c>
      <c r="AC120" s="17">
        <f t="shared" si="7"/>
        <v>6.4420691131130331E-2</v>
      </c>
    </row>
    <row r="121" spans="1:29" x14ac:dyDescent="0.25">
      <c r="A121" t="s">
        <v>193</v>
      </c>
      <c r="B121" s="1">
        <v>46237</v>
      </c>
      <c r="C121" s="1">
        <v>46259</v>
      </c>
      <c r="D121" t="s">
        <v>57</v>
      </c>
      <c r="E121" t="s">
        <v>67</v>
      </c>
      <c r="F121" t="s">
        <v>37</v>
      </c>
      <c r="G121" t="s">
        <v>30</v>
      </c>
      <c r="H121" t="s">
        <v>31</v>
      </c>
      <c r="I121" t="s">
        <v>58</v>
      </c>
      <c r="J121" t="s">
        <v>59</v>
      </c>
      <c r="K121" s="14" t="str">
        <f t="shared" si="4"/>
        <v>Kwara → Ogun</v>
      </c>
      <c r="L121" t="s">
        <v>60</v>
      </c>
      <c r="M121">
        <v>32</v>
      </c>
      <c r="N121">
        <v>32</v>
      </c>
      <c r="O121">
        <v>0</v>
      </c>
      <c r="P121">
        <v>90</v>
      </c>
      <c r="Q121" s="14" t="str">
        <f t="shared" si="5"/>
        <v>0–100 km</v>
      </c>
      <c r="R121" s="14" t="str">
        <f>IF(Table2[[#This Row],[Distance Bands]]="0–100 km","Short",
IF(Table2[[#This Row],[Distance Bands]]="101–250 km","Medium",
IF(Table2[[#This Row],[Distance Bands]]="251–500 km","Long",
IF(Table2[[#This Row],[Distance Bands]]="501–1,000 km","Very Long",
"Extreme"))))</f>
        <v>Short</v>
      </c>
      <c r="S121" s="13">
        <f>Table2[[#This Row],[Freight_Cost_NGN]]/Table2[[#This Row],[Distance_km]]</f>
        <v>5367.8666666666668</v>
      </c>
      <c r="T121">
        <v>2</v>
      </c>
      <c r="U121">
        <v>2</v>
      </c>
      <c r="V121" s="14">
        <f>Table2[[#This Row],[Actual_Transit_Days]]-Table2[[#This Row],[Planned_Transit_Days]]</f>
        <v>0</v>
      </c>
      <c r="W121">
        <v>483108</v>
      </c>
      <c r="X121">
        <v>475879</v>
      </c>
      <c r="Y121" t="s">
        <v>42</v>
      </c>
      <c r="Z121" s="14">
        <f>IF(Table2[[#This Row],[Delivery_Date]]&lt;=Table2[[#This Row],[Planned_Date]],1,0)</f>
        <v>0</v>
      </c>
      <c r="AA121" s="18">
        <f>Table2[[#This Row],[Units_Damaged]]/Table2[[#This Row],[Units_Shipped]]</f>
        <v>0</v>
      </c>
      <c r="AB121">
        <f t="shared" si="6"/>
        <v>7229</v>
      </c>
      <c r="AC121" s="17">
        <f t="shared" si="7"/>
        <v>1.5190836326040864E-2</v>
      </c>
    </row>
    <row r="122" spans="1:29" x14ac:dyDescent="0.25">
      <c r="A122" t="s">
        <v>194</v>
      </c>
      <c r="B122" s="1">
        <v>46238</v>
      </c>
      <c r="C122" s="1">
        <v>46110</v>
      </c>
      <c r="D122" t="s">
        <v>35</v>
      </c>
      <c r="E122" t="s">
        <v>52</v>
      </c>
      <c r="F122" t="s">
        <v>53</v>
      </c>
      <c r="G122" t="s">
        <v>91</v>
      </c>
      <c r="H122" t="s">
        <v>92</v>
      </c>
      <c r="I122" t="s">
        <v>54</v>
      </c>
      <c r="J122" t="s">
        <v>55</v>
      </c>
      <c r="K122" s="14" t="str">
        <f t="shared" si="4"/>
        <v>Delta → Rivers</v>
      </c>
      <c r="L122" t="s">
        <v>41</v>
      </c>
      <c r="M122">
        <v>98</v>
      </c>
      <c r="N122">
        <v>96</v>
      </c>
      <c r="O122">
        <v>2</v>
      </c>
      <c r="P122">
        <v>385</v>
      </c>
      <c r="Q122" s="14" t="str">
        <f t="shared" si="5"/>
        <v>251–500 km</v>
      </c>
      <c r="R122" s="14" t="str">
        <f>IF(Table2[[#This Row],[Distance Bands]]="0–100 km","Short",
IF(Table2[[#This Row],[Distance Bands]]="101–250 km","Medium",
IF(Table2[[#This Row],[Distance Bands]]="251–500 km","Long",
IF(Table2[[#This Row],[Distance Bands]]="501–1,000 km","Very Long",
"Extreme"))))</f>
        <v>Long</v>
      </c>
      <c r="S122" s="13">
        <f>Table2[[#This Row],[Freight_Cost_NGN]]/Table2[[#This Row],[Distance_km]]</f>
        <v>3838.5090909090909</v>
      </c>
      <c r="T122">
        <v>4</v>
      </c>
      <c r="U122">
        <v>4</v>
      </c>
      <c r="V122" s="14">
        <f>Table2[[#This Row],[Actual_Transit_Days]]-Table2[[#This Row],[Planned_Transit_Days]]</f>
        <v>0</v>
      </c>
      <c r="W122">
        <v>1477826</v>
      </c>
      <c r="X122">
        <v>1433111</v>
      </c>
      <c r="Y122" t="s">
        <v>42</v>
      </c>
      <c r="Z122" s="14">
        <f>IF(Table2[[#This Row],[Delivery_Date]]&lt;=Table2[[#This Row],[Planned_Date]],1,0)</f>
        <v>1</v>
      </c>
      <c r="AA122" s="18">
        <f>Table2[[#This Row],[Units_Damaged]]/Table2[[#This Row],[Units_Shipped]]</f>
        <v>2.0408163265306121E-2</v>
      </c>
      <c r="AB122">
        <f t="shared" si="6"/>
        <v>44715</v>
      </c>
      <c r="AC122" s="17">
        <f t="shared" si="7"/>
        <v>3.1201351465448245E-2</v>
      </c>
    </row>
    <row r="123" spans="1:29" x14ac:dyDescent="0.25">
      <c r="A123" t="s">
        <v>195</v>
      </c>
      <c r="B123" s="1">
        <v>46239</v>
      </c>
      <c r="C123" s="1">
        <v>46140</v>
      </c>
      <c r="D123" t="s">
        <v>77</v>
      </c>
      <c r="E123" t="s">
        <v>67</v>
      </c>
      <c r="F123" t="s">
        <v>28</v>
      </c>
      <c r="G123" t="s">
        <v>39</v>
      </c>
      <c r="H123" t="s">
        <v>40</v>
      </c>
      <c r="I123" t="s">
        <v>64</v>
      </c>
      <c r="J123" t="s">
        <v>65</v>
      </c>
      <c r="K123" s="14" t="str">
        <f t="shared" si="4"/>
        <v>Anambra → Plateau</v>
      </c>
      <c r="L123" t="s">
        <v>41</v>
      </c>
      <c r="M123">
        <v>53</v>
      </c>
      <c r="N123">
        <v>52</v>
      </c>
      <c r="O123">
        <v>1</v>
      </c>
      <c r="P123">
        <v>521</v>
      </c>
      <c r="Q123" s="14" t="str">
        <f t="shared" si="5"/>
        <v>501–1,000 km</v>
      </c>
      <c r="R123" s="14" t="str">
        <f>IF(Table2[[#This Row],[Distance Bands]]="0–100 km","Short",
IF(Table2[[#This Row],[Distance Bands]]="101–250 km","Medium",
IF(Table2[[#This Row],[Distance Bands]]="251–500 km","Long",
IF(Table2[[#This Row],[Distance Bands]]="501–1,000 km","Very Long",
"Extreme"))))</f>
        <v>Very Long</v>
      </c>
      <c r="S123" s="13">
        <f>Table2[[#This Row],[Freight_Cost_NGN]]/Table2[[#This Row],[Distance_km]]</f>
        <v>1652.4836852207293</v>
      </c>
      <c r="T123">
        <v>5</v>
      </c>
      <c r="U123">
        <v>7</v>
      </c>
      <c r="V123" s="14">
        <f>Table2[[#This Row],[Actual_Transit_Days]]-Table2[[#This Row],[Planned_Transit_Days]]</f>
        <v>2</v>
      </c>
      <c r="W123">
        <v>860944</v>
      </c>
      <c r="X123">
        <v>868928</v>
      </c>
      <c r="Y123" t="s">
        <v>33</v>
      </c>
      <c r="Z123" s="14">
        <f>IF(Table2[[#This Row],[Delivery_Date]]&lt;=Table2[[#This Row],[Planned_Date]],1,0)</f>
        <v>1</v>
      </c>
      <c r="AA123" s="18">
        <f>Table2[[#This Row],[Units_Damaged]]/Table2[[#This Row],[Units_Shipped]]</f>
        <v>1.8867924528301886E-2</v>
      </c>
      <c r="AB123">
        <f t="shared" si="6"/>
        <v>-7984</v>
      </c>
      <c r="AC123" s="17">
        <f t="shared" si="7"/>
        <v>-9.1883332105767105E-3</v>
      </c>
    </row>
    <row r="124" spans="1:29" x14ac:dyDescent="0.25">
      <c r="A124" t="s">
        <v>196</v>
      </c>
      <c r="B124" s="1">
        <v>46240</v>
      </c>
      <c r="C124" s="1">
        <v>46069</v>
      </c>
      <c r="D124" t="s">
        <v>57</v>
      </c>
      <c r="E124" t="s">
        <v>103</v>
      </c>
      <c r="F124" t="s">
        <v>53</v>
      </c>
      <c r="G124" t="s">
        <v>64</v>
      </c>
      <c r="H124" t="s">
        <v>65</v>
      </c>
      <c r="I124" t="s">
        <v>47</v>
      </c>
      <c r="J124" t="s">
        <v>48</v>
      </c>
      <c r="K124" s="14" t="str">
        <f t="shared" si="4"/>
        <v>Plateau → Cross River</v>
      </c>
      <c r="L124" t="s">
        <v>41</v>
      </c>
      <c r="M124">
        <v>123</v>
      </c>
      <c r="N124">
        <v>119</v>
      </c>
      <c r="O124">
        <v>4</v>
      </c>
      <c r="P124">
        <v>59</v>
      </c>
      <c r="Q124" s="14" t="str">
        <f t="shared" si="5"/>
        <v>0–100 km</v>
      </c>
      <c r="R124" s="14" t="str">
        <f>IF(Table2[[#This Row],[Distance Bands]]="0–100 km","Short",
IF(Table2[[#This Row],[Distance Bands]]="101–250 km","Medium",
IF(Table2[[#This Row],[Distance Bands]]="251–500 km","Long",
IF(Table2[[#This Row],[Distance Bands]]="501–1,000 km","Very Long",
"Extreme"))))</f>
        <v>Short</v>
      </c>
      <c r="S124" s="13">
        <f>Table2[[#This Row],[Freight_Cost_NGN]]/Table2[[#This Row],[Distance_km]]</f>
        <v>18725.169491525423</v>
      </c>
      <c r="T124">
        <v>6</v>
      </c>
      <c r="U124">
        <v>6</v>
      </c>
      <c r="V124" s="14">
        <f>Table2[[#This Row],[Actual_Transit_Days]]-Table2[[#This Row],[Planned_Transit_Days]]</f>
        <v>0</v>
      </c>
      <c r="W124">
        <v>1104785</v>
      </c>
      <c r="X124">
        <v>1035969</v>
      </c>
      <c r="Y124" t="s">
        <v>42</v>
      </c>
      <c r="Z124" s="14">
        <f>IF(Table2[[#This Row],[Delivery_Date]]&lt;=Table2[[#This Row],[Planned_Date]],1,0)</f>
        <v>1</v>
      </c>
      <c r="AA124" s="18">
        <f>Table2[[#This Row],[Units_Damaged]]/Table2[[#This Row],[Units_Shipped]]</f>
        <v>3.2520325203252036E-2</v>
      </c>
      <c r="AB124">
        <f t="shared" si="6"/>
        <v>68816</v>
      </c>
      <c r="AC124" s="17">
        <f t="shared" si="7"/>
        <v>6.6426698096178557E-2</v>
      </c>
    </row>
    <row r="125" spans="1:29" x14ac:dyDescent="0.25">
      <c r="A125" t="s">
        <v>197</v>
      </c>
      <c r="B125" s="1">
        <v>46241</v>
      </c>
      <c r="C125" s="1">
        <v>46213</v>
      </c>
      <c r="D125" t="s">
        <v>77</v>
      </c>
      <c r="E125" t="s">
        <v>103</v>
      </c>
      <c r="F125" t="s">
        <v>53</v>
      </c>
      <c r="G125" t="s">
        <v>49</v>
      </c>
      <c r="H125" t="s">
        <v>50</v>
      </c>
      <c r="I125" t="s">
        <v>30</v>
      </c>
      <c r="J125" t="s">
        <v>31</v>
      </c>
      <c r="K125" s="14" t="str">
        <f t="shared" si="4"/>
        <v>Niger → Kwara</v>
      </c>
      <c r="L125" t="s">
        <v>41</v>
      </c>
      <c r="M125">
        <v>130</v>
      </c>
      <c r="N125">
        <v>126</v>
      </c>
      <c r="O125">
        <v>4</v>
      </c>
      <c r="P125">
        <v>241</v>
      </c>
      <c r="Q125" s="14" t="str">
        <f t="shared" si="5"/>
        <v>101–250 km</v>
      </c>
      <c r="R125" s="14" t="str">
        <f>IF(Table2[[#This Row],[Distance Bands]]="0–100 km","Short",
IF(Table2[[#This Row],[Distance Bands]]="101–250 km","Medium",
IF(Table2[[#This Row],[Distance Bands]]="251–500 km","Long",
IF(Table2[[#This Row],[Distance Bands]]="501–1,000 km","Very Long",
"Extreme"))))</f>
        <v>Medium</v>
      </c>
      <c r="S125" s="13">
        <f>Table2[[#This Row],[Freight_Cost_NGN]]/Table2[[#This Row],[Distance_km]]</f>
        <v>6892.4647302904568</v>
      </c>
      <c r="T125">
        <v>4</v>
      </c>
      <c r="U125">
        <v>6</v>
      </c>
      <c r="V125" s="14">
        <f>Table2[[#This Row],[Actual_Transit_Days]]-Table2[[#This Row],[Planned_Transit_Days]]</f>
        <v>2</v>
      </c>
      <c r="W125">
        <v>1661084</v>
      </c>
      <c r="X125">
        <v>1816534</v>
      </c>
      <c r="Y125" t="s">
        <v>33</v>
      </c>
      <c r="Z125" s="14">
        <f>IF(Table2[[#This Row],[Delivery_Date]]&lt;=Table2[[#This Row],[Planned_Date]],1,0)</f>
        <v>1</v>
      </c>
      <c r="AA125" s="18">
        <f>Table2[[#This Row],[Units_Damaged]]/Table2[[#This Row],[Units_Shipped]]</f>
        <v>3.0769230769230771E-2</v>
      </c>
      <c r="AB125">
        <f t="shared" si="6"/>
        <v>-155450</v>
      </c>
      <c r="AC125" s="17">
        <f t="shared" si="7"/>
        <v>-8.5575056673863517E-2</v>
      </c>
    </row>
    <row r="126" spans="1:29" x14ac:dyDescent="0.25">
      <c r="A126" t="s">
        <v>198</v>
      </c>
      <c r="B126" s="1">
        <v>46242</v>
      </c>
      <c r="C126" s="1">
        <v>46078</v>
      </c>
      <c r="D126" t="s">
        <v>26</v>
      </c>
      <c r="E126" t="s">
        <v>27</v>
      </c>
      <c r="F126" t="s">
        <v>28</v>
      </c>
      <c r="G126" t="s">
        <v>29</v>
      </c>
      <c r="H126" t="s">
        <v>29</v>
      </c>
      <c r="I126" t="s">
        <v>54</v>
      </c>
      <c r="J126" t="s">
        <v>55</v>
      </c>
      <c r="K126" s="14" t="str">
        <f t="shared" si="4"/>
        <v>Kaduna → Rivers</v>
      </c>
      <c r="L126" t="s">
        <v>32</v>
      </c>
      <c r="M126">
        <v>128</v>
      </c>
      <c r="N126">
        <v>128</v>
      </c>
      <c r="O126">
        <v>0</v>
      </c>
      <c r="P126">
        <v>399</v>
      </c>
      <c r="Q126" s="14" t="str">
        <f t="shared" si="5"/>
        <v>251–500 km</v>
      </c>
      <c r="R126" s="14" t="str">
        <f>IF(Table2[[#This Row],[Distance Bands]]="0–100 km","Short",
IF(Table2[[#This Row],[Distance Bands]]="101–250 km","Medium",
IF(Table2[[#This Row],[Distance Bands]]="251–500 km","Long",
IF(Table2[[#This Row],[Distance Bands]]="501–1,000 km","Very Long",
"Extreme"))))</f>
        <v>Long</v>
      </c>
      <c r="S126" s="13">
        <f>Table2[[#This Row],[Freight_Cost_NGN]]/Table2[[#This Row],[Distance_km]]</f>
        <v>4235.3634085213034</v>
      </c>
      <c r="T126">
        <v>2</v>
      </c>
      <c r="U126">
        <v>7</v>
      </c>
      <c r="V126" s="14">
        <f>Table2[[#This Row],[Actual_Transit_Days]]-Table2[[#This Row],[Planned_Transit_Days]]</f>
        <v>5</v>
      </c>
      <c r="W126">
        <v>1689910</v>
      </c>
      <c r="X126">
        <v>1586453</v>
      </c>
      <c r="Y126" t="s">
        <v>75</v>
      </c>
      <c r="Z126" s="14">
        <f>IF(Table2[[#This Row],[Delivery_Date]]&lt;=Table2[[#This Row],[Planned_Date]],1,0)</f>
        <v>1</v>
      </c>
      <c r="AA126" s="18">
        <f>Table2[[#This Row],[Units_Damaged]]/Table2[[#This Row],[Units_Shipped]]</f>
        <v>0</v>
      </c>
      <c r="AB126">
        <f t="shared" si="6"/>
        <v>103457</v>
      </c>
      <c r="AC126" s="17">
        <f t="shared" si="7"/>
        <v>6.5212773400787793E-2</v>
      </c>
    </row>
    <row r="127" spans="1:29" x14ac:dyDescent="0.25">
      <c r="A127" t="s">
        <v>199</v>
      </c>
      <c r="B127" s="1">
        <v>46243</v>
      </c>
      <c r="C127" s="1">
        <v>46154</v>
      </c>
      <c r="D127" t="s">
        <v>77</v>
      </c>
      <c r="E127" t="s">
        <v>52</v>
      </c>
      <c r="F127" t="s">
        <v>46</v>
      </c>
      <c r="G127" t="s">
        <v>72</v>
      </c>
      <c r="H127" t="s">
        <v>72</v>
      </c>
      <c r="I127" t="s">
        <v>29</v>
      </c>
      <c r="J127" t="s">
        <v>29</v>
      </c>
      <c r="K127" s="14" t="str">
        <f t="shared" si="4"/>
        <v>Lagos → Kaduna</v>
      </c>
      <c r="L127" t="s">
        <v>32</v>
      </c>
      <c r="M127">
        <v>118</v>
      </c>
      <c r="N127">
        <v>117</v>
      </c>
      <c r="O127">
        <v>1</v>
      </c>
      <c r="P127">
        <v>169</v>
      </c>
      <c r="Q127" s="14" t="str">
        <f t="shared" si="5"/>
        <v>101–250 km</v>
      </c>
      <c r="R127" s="14" t="str">
        <f>IF(Table2[[#This Row],[Distance Bands]]="0–100 km","Short",
IF(Table2[[#This Row],[Distance Bands]]="101–250 km","Medium",
IF(Table2[[#This Row],[Distance Bands]]="251–500 km","Long",
IF(Table2[[#This Row],[Distance Bands]]="501–1,000 km","Very Long",
"Extreme"))))</f>
        <v>Medium</v>
      </c>
      <c r="S127" s="13">
        <f>Table2[[#This Row],[Freight_Cost_NGN]]/Table2[[#This Row],[Distance_km]]</f>
        <v>8806.834319526628</v>
      </c>
      <c r="T127">
        <v>7</v>
      </c>
      <c r="U127">
        <v>9</v>
      </c>
      <c r="V127" s="14">
        <f>Table2[[#This Row],[Actual_Transit_Days]]-Table2[[#This Row],[Planned_Transit_Days]]</f>
        <v>2</v>
      </c>
      <c r="W127">
        <v>1488355</v>
      </c>
      <c r="X127">
        <v>1626655</v>
      </c>
      <c r="Y127" t="s">
        <v>33</v>
      </c>
      <c r="Z127" s="14">
        <f>IF(Table2[[#This Row],[Delivery_Date]]&lt;=Table2[[#This Row],[Planned_Date]],1,0)</f>
        <v>1</v>
      </c>
      <c r="AA127" s="18">
        <f>Table2[[#This Row],[Units_Damaged]]/Table2[[#This Row],[Units_Shipped]]</f>
        <v>8.4745762711864406E-3</v>
      </c>
      <c r="AB127">
        <f t="shared" si="6"/>
        <v>-138300</v>
      </c>
      <c r="AC127" s="17">
        <f t="shared" si="7"/>
        <v>-8.5021101585769573E-2</v>
      </c>
    </row>
    <row r="128" spans="1:29" x14ac:dyDescent="0.25">
      <c r="A128" t="s">
        <v>200</v>
      </c>
      <c r="B128" s="1">
        <v>46244</v>
      </c>
      <c r="C128" s="1">
        <v>46241</v>
      </c>
      <c r="D128" t="s">
        <v>35</v>
      </c>
      <c r="E128" t="s">
        <v>52</v>
      </c>
      <c r="F128" t="s">
        <v>46</v>
      </c>
      <c r="G128" t="s">
        <v>73</v>
      </c>
      <c r="H128" t="s">
        <v>74</v>
      </c>
      <c r="I128" t="s">
        <v>47</v>
      </c>
      <c r="J128" t="s">
        <v>48</v>
      </c>
      <c r="K128" s="14" t="str">
        <f t="shared" si="4"/>
        <v>Oyo → Cross River</v>
      </c>
      <c r="L128" t="s">
        <v>41</v>
      </c>
      <c r="M128">
        <v>109</v>
      </c>
      <c r="N128">
        <v>107</v>
      </c>
      <c r="O128">
        <v>2</v>
      </c>
      <c r="P128">
        <v>626</v>
      </c>
      <c r="Q128" s="14" t="str">
        <f t="shared" si="5"/>
        <v>501–1,000 km</v>
      </c>
      <c r="R128" s="14" t="str">
        <f>IF(Table2[[#This Row],[Distance Bands]]="0–100 km","Short",
IF(Table2[[#This Row],[Distance Bands]]="101–250 km","Medium",
IF(Table2[[#This Row],[Distance Bands]]="251–500 km","Long",
IF(Table2[[#This Row],[Distance Bands]]="501–1,000 km","Very Long",
"Extreme"))))</f>
        <v>Very Long</v>
      </c>
      <c r="S128" s="13">
        <f>Table2[[#This Row],[Freight_Cost_NGN]]/Table2[[#This Row],[Distance_km]]</f>
        <v>2567.2827476038337</v>
      </c>
      <c r="T128">
        <v>5</v>
      </c>
      <c r="U128">
        <v>7</v>
      </c>
      <c r="V128" s="14">
        <f>Table2[[#This Row],[Actual_Transit_Days]]-Table2[[#This Row],[Planned_Transit_Days]]</f>
        <v>2</v>
      </c>
      <c r="W128">
        <v>1607119</v>
      </c>
      <c r="X128">
        <v>1529748</v>
      </c>
      <c r="Y128" t="s">
        <v>33</v>
      </c>
      <c r="Z128" s="14">
        <f>IF(Table2[[#This Row],[Delivery_Date]]&lt;=Table2[[#This Row],[Planned_Date]],1,0)</f>
        <v>1</v>
      </c>
      <c r="AA128" s="18">
        <f>Table2[[#This Row],[Units_Damaged]]/Table2[[#This Row],[Units_Shipped]]</f>
        <v>1.834862385321101E-2</v>
      </c>
      <c r="AB128">
        <f t="shared" si="6"/>
        <v>77371</v>
      </c>
      <c r="AC128" s="17">
        <f t="shared" si="7"/>
        <v>5.0577611475877075E-2</v>
      </c>
    </row>
    <row r="129" spans="1:29" x14ac:dyDescent="0.25">
      <c r="A129" t="s">
        <v>201</v>
      </c>
      <c r="B129" s="1">
        <v>46245</v>
      </c>
      <c r="C129" s="1">
        <v>46101</v>
      </c>
      <c r="D129" t="s">
        <v>57</v>
      </c>
      <c r="E129" t="s">
        <v>27</v>
      </c>
      <c r="F129" t="s">
        <v>37</v>
      </c>
      <c r="G129" t="s">
        <v>64</v>
      </c>
      <c r="H129" t="s">
        <v>65</v>
      </c>
      <c r="I129" t="s">
        <v>68</v>
      </c>
      <c r="J129" t="s">
        <v>69</v>
      </c>
      <c r="K129" s="14" t="str">
        <f t="shared" si="4"/>
        <v>Plateau → Abia</v>
      </c>
      <c r="L129" t="s">
        <v>32</v>
      </c>
      <c r="M129">
        <v>72</v>
      </c>
      <c r="N129">
        <v>70</v>
      </c>
      <c r="O129">
        <v>2</v>
      </c>
      <c r="P129">
        <v>634</v>
      </c>
      <c r="Q129" s="14" t="str">
        <f t="shared" si="5"/>
        <v>501–1,000 km</v>
      </c>
      <c r="R129" s="14" t="str">
        <f>IF(Table2[[#This Row],[Distance Bands]]="0–100 km","Short",
IF(Table2[[#This Row],[Distance Bands]]="101–250 km","Medium",
IF(Table2[[#This Row],[Distance Bands]]="251–500 km","Long",
IF(Table2[[#This Row],[Distance Bands]]="501–1,000 km","Very Long",
"Extreme"))))</f>
        <v>Very Long</v>
      </c>
      <c r="S129" s="13">
        <f>Table2[[#This Row],[Freight_Cost_NGN]]/Table2[[#This Row],[Distance_km]]</f>
        <v>1152.3817034700317</v>
      </c>
      <c r="T129">
        <v>2</v>
      </c>
      <c r="U129">
        <v>2</v>
      </c>
      <c r="V129" s="14">
        <f>Table2[[#This Row],[Actual_Transit_Days]]-Table2[[#This Row],[Planned_Transit_Days]]</f>
        <v>0</v>
      </c>
      <c r="W129">
        <v>730610</v>
      </c>
      <c r="X129">
        <v>769711</v>
      </c>
      <c r="Y129" t="s">
        <v>42</v>
      </c>
      <c r="Z129" s="14">
        <f>IF(Table2[[#This Row],[Delivery_Date]]&lt;=Table2[[#This Row],[Planned_Date]],1,0)</f>
        <v>1</v>
      </c>
      <c r="AA129" s="18">
        <f>Table2[[#This Row],[Units_Damaged]]/Table2[[#This Row],[Units_Shipped]]</f>
        <v>2.7777777777777776E-2</v>
      </c>
      <c r="AB129">
        <f t="shared" si="6"/>
        <v>-39101</v>
      </c>
      <c r="AC129" s="17">
        <f t="shared" si="7"/>
        <v>-5.0799585818573467E-2</v>
      </c>
    </row>
    <row r="130" spans="1:29" x14ac:dyDescent="0.25">
      <c r="A130" t="s">
        <v>202</v>
      </c>
      <c r="B130" s="1">
        <v>46246</v>
      </c>
      <c r="C130" s="1">
        <v>46084</v>
      </c>
      <c r="D130" t="s">
        <v>35</v>
      </c>
      <c r="E130" t="s">
        <v>52</v>
      </c>
      <c r="F130" t="s">
        <v>46</v>
      </c>
      <c r="G130" t="s">
        <v>72</v>
      </c>
      <c r="H130" t="s">
        <v>72</v>
      </c>
      <c r="I130" t="s">
        <v>38</v>
      </c>
      <c r="J130" t="s">
        <v>38</v>
      </c>
      <c r="K130" s="14" t="str">
        <f t="shared" si="4"/>
        <v>Lagos → Kano</v>
      </c>
      <c r="L130" t="s">
        <v>41</v>
      </c>
      <c r="M130">
        <v>69</v>
      </c>
      <c r="N130">
        <v>67</v>
      </c>
      <c r="O130">
        <v>2</v>
      </c>
      <c r="P130">
        <v>100</v>
      </c>
      <c r="Q130" s="14" t="str">
        <f t="shared" si="5"/>
        <v>0–100 km</v>
      </c>
      <c r="R130" s="14" t="str">
        <f>IF(Table2[[#This Row],[Distance Bands]]="0–100 km","Short",
IF(Table2[[#This Row],[Distance Bands]]="101–250 km","Medium",
IF(Table2[[#This Row],[Distance Bands]]="251–500 km","Long",
IF(Table2[[#This Row],[Distance Bands]]="501–1,000 km","Very Long",
"Extreme"))))</f>
        <v>Short</v>
      </c>
      <c r="S130" s="13">
        <f>Table2[[#This Row],[Freight_Cost_NGN]]/Table2[[#This Row],[Distance_km]]</f>
        <v>6713.14</v>
      </c>
      <c r="T130">
        <v>4</v>
      </c>
      <c r="U130">
        <v>4</v>
      </c>
      <c r="V130" s="14">
        <f>Table2[[#This Row],[Actual_Transit_Days]]-Table2[[#This Row],[Planned_Transit_Days]]</f>
        <v>0</v>
      </c>
      <c r="W130">
        <v>671314</v>
      </c>
      <c r="X130">
        <v>710984</v>
      </c>
      <c r="Y130" t="s">
        <v>42</v>
      </c>
      <c r="Z130" s="14">
        <f>IF(Table2[[#This Row],[Delivery_Date]]&lt;=Table2[[#This Row],[Planned_Date]],1,0)</f>
        <v>1</v>
      </c>
      <c r="AA130" s="18">
        <f>Table2[[#This Row],[Units_Damaged]]/Table2[[#This Row],[Units_Shipped]]</f>
        <v>2.8985507246376812E-2</v>
      </c>
      <c r="AB130">
        <f t="shared" si="6"/>
        <v>-39670</v>
      </c>
      <c r="AC130" s="17">
        <f t="shared" si="7"/>
        <v>-5.579591101909466E-2</v>
      </c>
    </row>
    <row r="131" spans="1:29" x14ac:dyDescent="0.25">
      <c r="A131" t="s">
        <v>203</v>
      </c>
      <c r="B131" s="1">
        <v>46247</v>
      </c>
      <c r="C131" s="1">
        <v>46200</v>
      </c>
      <c r="D131" t="s">
        <v>44</v>
      </c>
      <c r="E131" t="s">
        <v>52</v>
      </c>
      <c r="F131" t="s">
        <v>53</v>
      </c>
      <c r="G131" t="s">
        <v>72</v>
      </c>
      <c r="H131" t="s">
        <v>72</v>
      </c>
      <c r="I131" t="s">
        <v>73</v>
      </c>
      <c r="J131" t="s">
        <v>74</v>
      </c>
      <c r="K131" s="14" t="str">
        <f t="shared" ref="K131:K194" si="8">H131&amp;" → "&amp;J131</f>
        <v>Lagos → Oyo</v>
      </c>
      <c r="L131" t="s">
        <v>41</v>
      </c>
      <c r="M131">
        <v>114</v>
      </c>
      <c r="N131">
        <v>114</v>
      </c>
      <c r="O131">
        <v>0</v>
      </c>
      <c r="P131">
        <v>801</v>
      </c>
      <c r="Q131" s="14" t="str">
        <f t="shared" ref="Q131:Q194" si="9">IF(P131&lt;=100,"0–100 km",
IF(P131&lt;=250,"101–250 km",
IF(P131&lt;=500,"251–500 km",
IF(P131&lt;=1000,"501–1,000 km",
"1,000+ km"))))</f>
        <v>501–1,000 km</v>
      </c>
      <c r="R131" s="14" t="str">
        <f>IF(Table2[[#This Row],[Distance Bands]]="0–100 km","Short",
IF(Table2[[#This Row],[Distance Bands]]="101–250 km","Medium",
IF(Table2[[#This Row],[Distance Bands]]="251–500 km","Long",
IF(Table2[[#This Row],[Distance Bands]]="501–1,000 km","Very Long",
"Extreme"))))</f>
        <v>Very Long</v>
      </c>
      <c r="S131" s="13">
        <f>Table2[[#This Row],[Freight_Cost_NGN]]/Table2[[#This Row],[Distance_km]]</f>
        <v>2186.3745318352062</v>
      </c>
      <c r="T131">
        <v>1</v>
      </c>
      <c r="U131">
        <v>2</v>
      </c>
      <c r="V131" s="14">
        <f>Table2[[#This Row],[Actual_Transit_Days]]-Table2[[#This Row],[Planned_Transit_Days]]</f>
        <v>1</v>
      </c>
      <c r="W131">
        <v>1751286</v>
      </c>
      <c r="X131">
        <v>1913571</v>
      </c>
      <c r="Y131" t="s">
        <v>33</v>
      </c>
      <c r="Z131" s="14">
        <f>IF(Table2[[#This Row],[Delivery_Date]]&lt;=Table2[[#This Row],[Planned_Date]],1,0)</f>
        <v>1</v>
      </c>
      <c r="AA131" s="18">
        <f>Table2[[#This Row],[Units_Damaged]]/Table2[[#This Row],[Units_Shipped]]</f>
        <v>0</v>
      </c>
      <c r="AB131">
        <f t="shared" si="6"/>
        <v>-162285</v>
      </c>
      <c r="AC131" s="17">
        <f t="shared" si="7"/>
        <v>-8.4807409811289994E-2</v>
      </c>
    </row>
    <row r="132" spans="1:29" x14ac:dyDescent="0.25">
      <c r="A132" t="s">
        <v>204</v>
      </c>
      <c r="B132" s="1">
        <v>46248</v>
      </c>
      <c r="C132" s="1">
        <v>46079</v>
      </c>
      <c r="D132" t="s">
        <v>57</v>
      </c>
      <c r="E132" t="s">
        <v>36</v>
      </c>
      <c r="F132" t="s">
        <v>63</v>
      </c>
      <c r="G132" t="s">
        <v>88</v>
      </c>
      <c r="H132" t="s">
        <v>89</v>
      </c>
      <c r="I132" t="s">
        <v>58</v>
      </c>
      <c r="J132" t="s">
        <v>59</v>
      </c>
      <c r="K132" s="14" t="str">
        <f t="shared" si="8"/>
        <v>Edo → Ogun</v>
      </c>
      <c r="L132" t="s">
        <v>32</v>
      </c>
      <c r="M132">
        <v>19</v>
      </c>
      <c r="N132">
        <v>18</v>
      </c>
      <c r="O132">
        <v>1</v>
      </c>
      <c r="P132">
        <v>67</v>
      </c>
      <c r="Q132" s="14" t="str">
        <f t="shared" si="9"/>
        <v>0–100 km</v>
      </c>
      <c r="R132" s="14" t="str">
        <f>IF(Table2[[#This Row],[Distance Bands]]="0–100 km","Short",
IF(Table2[[#This Row],[Distance Bands]]="101–250 km","Medium",
IF(Table2[[#This Row],[Distance Bands]]="251–500 km","Long",
IF(Table2[[#This Row],[Distance Bands]]="501–1,000 km","Very Long",
"Extreme"))))</f>
        <v>Short</v>
      </c>
      <c r="S132" s="13">
        <f>Table2[[#This Row],[Freight_Cost_NGN]]/Table2[[#This Row],[Distance_km]]</f>
        <v>4358.6417910447763</v>
      </c>
      <c r="T132">
        <v>4</v>
      </c>
      <c r="U132">
        <v>5</v>
      </c>
      <c r="V132" s="14">
        <f>Table2[[#This Row],[Actual_Transit_Days]]-Table2[[#This Row],[Planned_Transit_Days]]</f>
        <v>1</v>
      </c>
      <c r="W132">
        <v>292029</v>
      </c>
      <c r="X132">
        <v>316149</v>
      </c>
      <c r="Y132" t="s">
        <v>33</v>
      </c>
      <c r="Z132" s="14">
        <f>IF(Table2[[#This Row],[Delivery_Date]]&lt;=Table2[[#This Row],[Planned_Date]],1,0)</f>
        <v>1</v>
      </c>
      <c r="AA132" s="18">
        <f>Table2[[#This Row],[Units_Damaged]]/Table2[[#This Row],[Units_Shipped]]</f>
        <v>5.2631578947368418E-2</v>
      </c>
      <c r="AB132">
        <f t="shared" ref="AB132:AB195" si="10">W132-X132</f>
        <v>-24120</v>
      </c>
      <c r="AC132" s="17">
        <f t="shared" ref="AC132:AC195" si="11">AB132/X132</f>
        <v>-7.6293140259814207E-2</v>
      </c>
    </row>
    <row r="133" spans="1:29" x14ac:dyDescent="0.25">
      <c r="A133" t="s">
        <v>205</v>
      </c>
      <c r="B133" s="1">
        <v>46249</v>
      </c>
      <c r="C133" s="1">
        <v>46135</v>
      </c>
      <c r="D133" t="s">
        <v>62</v>
      </c>
      <c r="E133" t="s">
        <v>45</v>
      </c>
      <c r="F133" t="s">
        <v>37</v>
      </c>
      <c r="G133" t="s">
        <v>88</v>
      </c>
      <c r="H133" t="s">
        <v>89</v>
      </c>
      <c r="I133" t="s">
        <v>29</v>
      </c>
      <c r="J133" t="s">
        <v>29</v>
      </c>
      <c r="K133" s="14" t="str">
        <f t="shared" si="8"/>
        <v>Edo → Kaduna</v>
      </c>
      <c r="L133" t="s">
        <v>41</v>
      </c>
      <c r="M133">
        <v>128</v>
      </c>
      <c r="N133">
        <v>127</v>
      </c>
      <c r="O133">
        <v>1</v>
      </c>
      <c r="P133">
        <v>423</v>
      </c>
      <c r="Q133" s="14" t="str">
        <f t="shared" si="9"/>
        <v>251–500 km</v>
      </c>
      <c r="R133" s="14" t="str">
        <f>IF(Table2[[#This Row],[Distance Bands]]="0–100 km","Short",
IF(Table2[[#This Row],[Distance Bands]]="101–250 km","Medium",
IF(Table2[[#This Row],[Distance Bands]]="251–500 km","Long",
IF(Table2[[#This Row],[Distance Bands]]="501–1,000 km","Very Long",
"Extreme"))))</f>
        <v>Long</v>
      </c>
      <c r="S133" s="13">
        <f>Table2[[#This Row],[Freight_Cost_NGN]]/Table2[[#This Row],[Distance_km]]</f>
        <v>3901.5390070921985</v>
      </c>
      <c r="T133">
        <v>1</v>
      </c>
      <c r="U133">
        <v>2</v>
      </c>
      <c r="V133" s="14">
        <f>Table2[[#This Row],[Actual_Transit_Days]]-Table2[[#This Row],[Planned_Transit_Days]]</f>
        <v>1</v>
      </c>
      <c r="W133">
        <v>1650351</v>
      </c>
      <c r="X133">
        <v>1824309</v>
      </c>
      <c r="Y133" t="s">
        <v>33</v>
      </c>
      <c r="Z133" s="14">
        <f>IF(Table2[[#This Row],[Delivery_Date]]&lt;=Table2[[#This Row],[Planned_Date]],1,0)</f>
        <v>1</v>
      </c>
      <c r="AA133" s="18">
        <f>Table2[[#This Row],[Units_Damaged]]/Table2[[#This Row],[Units_Shipped]]</f>
        <v>7.8125E-3</v>
      </c>
      <c r="AB133">
        <f t="shared" si="10"/>
        <v>-173958</v>
      </c>
      <c r="AC133" s="17">
        <f t="shared" si="11"/>
        <v>-9.5355556542230505E-2</v>
      </c>
    </row>
    <row r="134" spans="1:29" x14ac:dyDescent="0.25">
      <c r="A134" t="s">
        <v>206</v>
      </c>
      <c r="B134" s="1">
        <v>46250</v>
      </c>
      <c r="C134" s="1">
        <v>46186</v>
      </c>
      <c r="D134" t="s">
        <v>77</v>
      </c>
      <c r="E134" t="s">
        <v>67</v>
      </c>
      <c r="F134" t="s">
        <v>63</v>
      </c>
      <c r="G134" t="s">
        <v>68</v>
      </c>
      <c r="H134" t="s">
        <v>69</v>
      </c>
      <c r="I134" t="s">
        <v>47</v>
      </c>
      <c r="J134" t="s">
        <v>48</v>
      </c>
      <c r="K134" s="14" t="str">
        <f t="shared" si="8"/>
        <v>Abia → Cross River</v>
      </c>
      <c r="L134" t="s">
        <v>41</v>
      </c>
      <c r="M134">
        <v>150</v>
      </c>
      <c r="N134">
        <v>148</v>
      </c>
      <c r="O134">
        <v>2</v>
      </c>
      <c r="P134">
        <v>26</v>
      </c>
      <c r="Q134" s="14" t="str">
        <f t="shared" si="9"/>
        <v>0–100 km</v>
      </c>
      <c r="R134" s="14" t="str">
        <f>IF(Table2[[#This Row],[Distance Bands]]="0–100 km","Short",
IF(Table2[[#This Row],[Distance Bands]]="101–250 km","Medium",
IF(Table2[[#This Row],[Distance Bands]]="251–500 km","Long",
IF(Table2[[#This Row],[Distance Bands]]="501–1,000 km","Very Long",
"Extreme"))))</f>
        <v>Short</v>
      </c>
      <c r="S134" s="13">
        <f>Table2[[#This Row],[Freight_Cost_NGN]]/Table2[[#This Row],[Distance_km]]</f>
        <v>65356.307692307695</v>
      </c>
      <c r="T134">
        <v>4</v>
      </c>
      <c r="U134">
        <v>4</v>
      </c>
      <c r="V134" s="14">
        <f>Table2[[#This Row],[Actual_Transit_Days]]-Table2[[#This Row],[Planned_Transit_Days]]</f>
        <v>0</v>
      </c>
      <c r="W134">
        <v>1699264</v>
      </c>
      <c r="X134">
        <v>1604746</v>
      </c>
      <c r="Y134" t="s">
        <v>42</v>
      </c>
      <c r="Z134" s="14">
        <f>IF(Table2[[#This Row],[Delivery_Date]]&lt;=Table2[[#This Row],[Planned_Date]],1,0)</f>
        <v>1</v>
      </c>
      <c r="AA134" s="18">
        <f>Table2[[#This Row],[Units_Damaged]]/Table2[[#This Row],[Units_Shipped]]</f>
        <v>1.3333333333333334E-2</v>
      </c>
      <c r="AB134">
        <f t="shared" si="10"/>
        <v>94518</v>
      </c>
      <c r="AC134" s="17">
        <f t="shared" si="11"/>
        <v>5.8899040720462925E-2</v>
      </c>
    </row>
    <row r="135" spans="1:29" x14ac:dyDescent="0.25">
      <c r="A135" t="s">
        <v>207</v>
      </c>
      <c r="B135" s="1">
        <v>46251</v>
      </c>
      <c r="C135" s="1">
        <v>46220</v>
      </c>
      <c r="D135" t="s">
        <v>57</v>
      </c>
      <c r="E135" t="s">
        <v>27</v>
      </c>
      <c r="F135" t="s">
        <v>63</v>
      </c>
      <c r="G135" t="s">
        <v>47</v>
      </c>
      <c r="H135" t="s">
        <v>48</v>
      </c>
      <c r="I135" t="s">
        <v>29</v>
      </c>
      <c r="J135" t="s">
        <v>29</v>
      </c>
      <c r="K135" s="14" t="str">
        <f t="shared" si="8"/>
        <v>Cross River → Kaduna</v>
      </c>
      <c r="L135" t="s">
        <v>41</v>
      </c>
      <c r="M135">
        <v>46</v>
      </c>
      <c r="N135">
        <v>46</v>
      </c>
      <c r="O135">
        <v>0</v>
      </c>
      <c r="P135">
        <v>60</v>
      </c>
      <c r="Q135" s="14" t="str">
        <f t="shared" si="9"/>
        <v>0–100 km</v>
      </c>
      <c r="R135" s="14" t="str">
        <f>IF(Table2[[#This Row],[Distance Bands]]="0–100 km","Short",
IF(Table2[[#This Row],[Distance Bands]]="101–250 km","Medium",
IF(Table2[[#This Row],[Distance Bands]]="251–500 km","Long",
IF(Table2[[#This Row],[Distance Bands]]="501–1,000 km","Very Long",
"Extreme"))))</f>
        <v>Short</v>
      </c>
      <c r="S135" s="13">
        <f>Table2[[#This Row],[Freight_Cost_NGN]]/Table2[[#This Row],[Distance_km]]</f>
        <v>7961.9666666666662</v>
      </c>
      <c r="T135">
        <v>2</v>
      </c>
      <c r="U135">
        <v>3</v>
      </c>
      <c r="V135" s="14">
        <f>Table2[[#This Row],[Actual_Transit_Days]]-Table2[[#This Row],[Planned_Transit_Days]]</f>
        <v>1</v>
      </c>
      <c r="W135">
        <v>477718</v>
      </c>
      <c r="X135">
        <v>516507</v>
      </c>
      <c r="Y135" t="s">
        <v>33</v>
      </c>
      <c r="Z135" s="14">
        <f>IF(Table2[[#This Row],[Delivery_Date]]&lt;=Table2[[#This Row],[Planned_Date]],1,0)</f>
        <v>1</v>
      </c>
      <c r="AA135" s="18">
        <f>Table2[[#This Row],[Units_Damaged]]/Table2[[#This Row],[Units_Shipped]]</f>
        <v>0</v>
      </c>
      <c r="AB135">
        <f t="shared" si="10"/>
        <v>-38789</v>
      </c>
      <c r="AC135" s="17">
        <f t="shared" si="11"/>
        <v>-7.5098691789269076E-2</v>
      </c>
    </row>
    <row r="136" spans="1:29" x14ac:dyDescent="0.25">
      <c r="A136" t="s">
        <v>208</v>
      </c>
      <c r="B136" s="1">
        <v>46252</v>
      </c>
      <c r="C136" s="1">
        <v>46169</v>
      </c>
      <c r="D136" t="s">
        <v>44</v>
      </c>
      <c r="E136" t="s">
        <v>36</v>
      </c>
      <c r="F136" t="s">
        <v>63</v>
      </c>
      <c r="G136" t="s">
        <v>91</v>
      </c>
      <c r="H136" t="s">
        <v>92</v>
      </c>
      <c r="I136" t="s">
        <v>39</v>
      </c>
      <c r="J136" t="s">
        <v>40</v>
      </c>
      <c r="K136" s="14" t="str">
        <f t="shared" si="8"/>
        <v>Delta → Anambra</v>
      </c>
      <c r="L136" t="s">
        <v>41</v>
      </c>
      <c r="M136">
        <v>126</v>
      </c>
      <c r="N136">
        <v>124</v>
      </c>
      <c r="O136">
        <v>2</v>
      </c>
      <c r="P136">
        <v>657</v>
      </c>
      <c r="Q136" s="14" t="str">
        <f t="shared" si="9"/>
        <v>501–1,000 km</v>
      </c>
      <c r="R136" s="14" t="str">
        <f>IF(Table2[[#This Row],[Distance Bands]]="0–100 km","Short",
IF(Table2[[#This Row],[Distance Bands]]="101–250 km","Medium",
IF(Table2[[#This Row],[Distance Bands]]="251–500 km","Long",
IF(Table2[[#This Row],[Distance Bands]]="501–1,000 km","Very Long",
"Extreme"))))</f>
        <v>Very Long</v>
      </c>
      <c r="S136" s="13">
        <f>Table2[[#This Row],[Freight_Cost_NGN]]/Table2[[#This Row],[Distance_km]]</f>
        <v>3071.4383561643835</v>
      </c>
      <c r="T136">
        <v>5</v>
      </c>
      <c r="U136">
        <v>6</v>
      </c>
      <c r="V136" s="14">
        <f>Table2[[#This Row],[Actual_Transit_Days]]-Table2[[#This Row],[Planned_Transit_Days]]</f>
        <v>1</v>
      </c>
      <c r="W136">
        <v>2017935</v>
      </c>
      <c r="X136">
        <v>2219737</v>
      </c>
      <c r="Y136" t="s">
        <v>33</v>
      </c>
      <c r="Z136" s="14">
        <f>IF(Table2[[#This Row],[Delivery_Date]]&lt;=Table2[[#This Row],[Planned_Date]],1,0)</f>
        <v>1</v>
      </c>
      <c r="AA136" s="18">
        <f>Table2[[#This Row],[Units_Damaged]]/Table2[[#This Row],[Units_Shipped]]</f>
        <v>1.5873015873015872E-2</v>
      </c>
      <c r="AB136">
        <f t="shared" si="10"/>
        <v>-201802</v>
      </c>
      <c r="AC136" s="17">
        <f t="shared" si="11"/>
        <v>-9.0912572074980061E-2</v>
      </c>
    </row>
    <row r="137" spans="1:29" x14ac:dyDescent="0.25">
      <c r="A137" t="s">
        <v>209</v>
      </c>
      <c r="B137" s="1">
        <v>46253</v>
      </c>
      <c r="C137" s="1">
        <v>46183</v>
      </c>
      <c r="D137" t="s">
        <v>77</v>
      </c>
      <c r="E137" t="s">
        <v>67</v>
      </c>
      <c r="F137" t="s">
        <v>46</v>
      </c>
      <c r="G137" t="s">
        <v>30</v>
      </c>
      <c r="H137" t="s">
        <v>31</v>
      </c>
      <c r="I137" t="s">
        <v>58</v>
      </c>
      <c r="J137" t="s">
        <v>59</v>
      </c>
      <c r="K137" s="14" t="str">
        <f t="shared" si="8"/>
        <v>Kwara → Ogun</v>
      </c>
      <c r="L137" t="s">
        <v>41</v>
      </c>
      <c r="M137">
        <v>93</v>
      </c>
      <c r="N137">
        <v>93</v>
      </c>
      <c r="O137">
        <v>0</v>
      </c>
      <c r="P137">
        <v>170</v>
      </c>
      <c r="Q137" s="14" t="str">
        <f t="shared" si="9"/>
        <v>101–250 km</v>
      </c>
      <c r="R137" s="14" t="str">
        <f>IF(Table2[[#This Row],[Distance Bands]]="0–100 km","Short",
IF(Table2[[#This Row],[Distance Bands]]="101–250 km","Medium",
IF(Table2[[#This Row],[Distance Bands]]="251–500 km","Long",
IF(Table2[[#This Row],[Distance Bands]]="501–1,000 km","Very Long",
"Extreme"))))</f>
        <v>Medium</v>
      </c>
      <c r="S137" s="13">
        <f>Table2[[#This Row],[Freight_Cost_NGN]]/Table2[[#This Row],[Distance_km]]</f>
        <v>5515.5294117647063</v>
      </c>
      <c r="T137">
        <v>5</v>
      </c>
      <c r="U137">
        <v>5</v>
      </c>
      <c r="V137" s="14">
        <f>Table2[[#This Row],[Actual_Transit_Days]]-Table2[[#This Row],[Planned_Transit_Days]]</f>
        <v>0</v>
      </c>
      <c r="W137">
        <v>937640</v>
      </c>
      <c r="X137">
        <v>890702</v>
      </c>
      <c r="Y137" t="s">
        <v>42</v>
      </c>
      <c r="Z137" s="14">
        <f>IF(Table2[[#This Row],[Delivery_Date]]&lt;=Table2[[#This Row],[Planned_Date]],1,0)</f>
        <v>1</v>
      </c>
      <c r="AA137" s="18">
        <f>Table2[[#This Row],[Units_Damaged]]/Table2[[#This Row],[Units_Shipped]]</f>
        <v>0</v>
      </c>
      <c r="AB137">
        <f t="shared" si="10"/>
        <v>46938</v>
      </c>
      <c r="AC137" s="17">
        <f t="shared" si="11"/>
        <v>5.2697759744561035E-2</v>
      </c>
    </row>
    <row r="138" spans="1:29" x14ac:dyDescent="0.25">
      <c r="A138" t="s">
        <v>210</v>
      </c>
      <c r="B138" s="1">
        <v>46254</v>
      </c>
      <c r="C138" s="1">
        <v>46237</v>
      </c>
      <c r="D138" t="s">
        <v>35</v>
      </c>
      <c r="E138" t="s">
        <v>67</v>
      </c>
      <c r="F138" t="s">
        <v>37</v>
      </c>
      <c r="G138" t="s">
        <v>29</v>
      </c>
      <c r="H138" t="s">
        <v>29</v>
      </c>
      <c r="I138" t="s">
        <v>88</v>
      </c>
      <c r="J138" t="s">
        <v>89</v>
      </c>
      <c r="K138" s="14" t="str">
        <f t="shared" si="8"/>
        <v>Kaduna → Edo</v>
      </c>
      <c r="L138" t="s">
        <v>41</v>
      </c>
      <c r="M138">
        <v>15</v>
      </c>
      <c r="N138">
        <v>15</v>
      </c>
      <c r="O138">
        <v>0</v>
      </c>
      <c r="P138">
        <v>674</v>
      </c>
      <c r="Q138" s="14" t="str">
        <f t="shared" si="9"/>
        <v>501–1,000 km</v>
      </c>
      <c r="R138" s="14" t="str">
        <f>IF(Table2[[#This Row],[Distance Bands]]="0–100 km","Short",
IF(Table2[[#This Row],[Distance Bands]]="101–250 km","Medium",
IF(Table2[[#This Row],[Distance Bands]]="251–500 km","Long",
IF(Table2[[#This Row],[Distance Bands]]="501–1,000 km","Very Long",
"Extreme"))))</f>
        <v>Very Long</v>
      </c>
      <c r="S138" s="13">
        <f>Table2[[#This Row],[Freight_Cost_NGN]]/Table2[[#This Row],[Distance_km]]</f>
        <v>531.00593471810089</v>
      </c>
      <c r="T138">
        <v>2</v>
      </c>
      <c r="U138">
        <v>2</v>
      </c>
      <c r="V138" s="14">
        <f>Table2[[#This Row],[Actual_Transit_Days]]-Table2[[#This Row],[Planned_Transit_Days]]</f>
        <v>0</v>
      </c>
      <c r="W138">
        <v>357898</v>
      </c>
      <c r="X138">
        <v>374505</v>
      </c>
      <c r="Y138" t="s">
        <v>42</v>
      </c>
      <c r="Z138" s="14">
        <f>IF(Table2[[#This Row],[Delivery_Date]]&lt;=Table2[[#This Row],[Planned_Date]],1,0)</f>
        <v>1</v>
      </c>
      <c r="AA138" s="18">
        <f>Table2[[#This Row],[Units_Damaged]]/Table2[[#This Row],[Units_Shipped]]</f>
        <v>0</v>
      </c>
      <c r="AB138">
        <f t="shared" si="10"/>
        <v>-16607</v>
      </c>
      <c r="AC138" s="17">
        <f t="shared" si="11"/>
        <v>-4.4343867238087607E-2</v>
      </c>
    </row>
    <row r="139" spans="1:29" x14ac:dyDescent="0.25">
      <c r="A139" t="s">
        <v>211</v>
      </c>
      <c r="B139" s="1">
        <v>46255</v>
      </c>
      <c r="C139" s="1">
        <v>46175</v>
      </c>
      <c r="D139" t="s">
        <v>77</v>
      </c>
      <c r="E139" t="s">
        <v>85</v>
      </c>
      <c r="F139" t="s">
        <v>63</v>
      </c>
      <c r="G139" t="s">
        <v>29</v>
      </c>
      <c r="H139" t="s">
        <v>29</v>
      </c>
      <c r="I139" t="s">
        <v>88</v>
      </c>
      <c r="J139" t="s">
        <v>89</v>
      </c>
      <c r="K139" s="14" t="str">
        <f t="shared" si="8"/>
        <v>Kaduna → Edo</v>
      </c>
      <c r="L139" t="s">
        <v>32</v>
      </c>
      <c r="M139">
        <v>28</v>
      </c>
      <c r="N139">
        <v>27</v>
      </c>
      <c r="O139">
        <v>1</v>
      </c>
      <c r="P139">
        <v>724</v>
      </c>
      <c r="Q139" s="14" t="str">
        <f t="shared" si="9"/>
        <v>501–1,000 km</v>
      </c>
      <c r="R139" s="14" t="str">
        <f>IF(Table2[[#This Row],[Distance Bands]]="0–100 km","Short",
IF(Table2[[#This Row],[Distance Bands]]="101–250 km","Medium",
IF(Table2[[#This Row],[Distance Bands]]="251–500 km","Long",
IF(Table2[[#This Row],[Distance Bands]]="501–1,000 km","Very Long",
"Extreme"))))</f>
        <v>Very Long</v>
      </c>
      <c r="S139" s="13">
        <f>Table2[[#This Row],[Freight_Cost_NGN]]/Table2[[#This Row],[Distance_km]]</f>
        <v>432.87845303867402</v>
      </c>
      <c r="T139">
        <v>3</v>
      </c>
      <c r="U139">
        <v>3</v>
      </c>
      <c r="V139" s="14">
        <f>Table2[[#This Row],[Actual_Transit_Days]]-Table2[[#This Row],[Planned_Transit_Days]]</f>
        <v>0</v>
      </c>
      <c r="W139">
        <v>313404</v>
      </c>
      <c r="X139">
        <v>326141</v>
      </c>
      <c r="Y139" t="s">
        <v>42</v>
      </c>
      <c r="Z139" s="14">
        <f>IF(Table2[[#This Row],[Delivery_Date]]&lt;=Table2[[#This Row],[Planned_Date]],1,0)</f>
        <v>1</v>
      </c>
      <c r="AA139" s="18">
        <f>Table2[[#This Row],[Units_Damaged]]/Table2[[#This Row],[Units_Shipped]]</f>
        <v>3.5714285714285712E-2</v>
      </c>
      <c r="AB139">
        <f t="shared" si="10"/>
        <v>-12737</v>
      </c>
      <c r="AC139" s="17">
        <f t="shared" si="11"/>
        <v>-3.9053660839943459E-2</v>
      </c>
    </row>
    <row r="140" spans="1:29" x14ac:dyDescent="0.25">
      <c r="A140" t="s">
        <v>212</v>
      </c>
      <c r="B140" s="1">
        <v>46256</v>
      </c>
      <c r="C140" s="1">
        <v>46160</v>
      </c>
      <c r="D140" t="s">
        <v>62</v>
      </c>
      <c r="E140" t="s">
        <v>45</v>
      </c>
      <c r="F140" t="s">
        <v>37</v>
      </c>
      <c r="G140" t="s">
        <v>72</v>
      </c>
      <c r="H140" t="s">
        <v>72</v>
      </c>
      <c r="I140" t="s">
        <v>30</v>
      </c>
      <c r="J140" t="s">
        <v>31</v>
      </c>
      <c r="K140" s="14" t="str">
        <f t="shared" si="8"/>
        <v>Lagos → Kwara</v>
      </c>
      <c r="L140" t="s">
        <v>41</v>
      </c>
      <c r="M140">
        <v>74</v>
      </c>
      <c r="N140">
        <v>73</v>
      </c>
      <c r="O140">
        <v>1</v>
      </c>
      <c r="P140">
        <v>449</v>
      </c>
      <c r="Q140" s="14" t="str">
        <f t="shared" si="9"/>
        <v>251–500 km</v>
      </c>
      <c r="R140" s="14" t="str">
        <f>IF(Table2[[#This Row],[Distance Bands]]="0–100 km","Short",
IF(Table2[[#This Row],[Distance Bands]]="101–250 km","Medium",
IF(Table2[[#This Row],[Distance Bands]]="251–500 km","Long",
IF(Table2[[#This Row],[Distance Bands]]="501–1,000 km","Very Long",
"Extreme"))))</f>
        <v>Long</v>
      </c>
      <c r="S140" s="13">
        <f>Table2[[#This Row],[Freight_Cost_NGN]]/Table2[[#This Row],[Distance_km]]</f>
        <v>1276.1692650334076</v>
      </c>
      <c r="T140">
        <v>3</v>
      </c>
      <c r="U140">
        <v>3</v>
      </c>
      <c r="V140" s="14">
        <f>Table2[[#This Row],[Actual_Transit_Days]]-Table2[[#This Row],[Planned_Transit_Days]]</f>
        <v>0</v>
      </c>
      <c r="W140">
        <v>573000</v>
      </c>
      <c r="X140">
        <v>586644</v>
      </c>
      <c r="Y140" t="s">
        <v>42</v>
      </c>
      <c r="Z140" s="14">
        <f>IF(Table2[[#This Row],[Delivery_Date]]&lt;=Table2[[#This Row],[Planned_Date]],1,0)</f>
        <v>1</v>
      </c>
      <c r="AA140" s="18">
        <f>Table2[[#This Row],[Units_Damaged]]/Table2[[#This Row],[Units_Shipped]]</f>
        <v>1.3513513513513514E-2</v>
      </c>
      <c r="AB140">
        <f t="shared" si="10"/>
        <v>-13644</v>
      </c>
      <c r="AC140" s="17">
        <f t="shared" si="11"/>
        <v>-2.3257716775420868E-2</v>
      </c>
    </row>
    <row r="141" spans="1:29" x14ac:dyDescent="0.25">
      <c r="A141" t="s">
        <v>213</v>
      </c>
      <c r="B141" s="1">
        <v>46257</v>
      </c>
      <c r="C141" s="1">
        <v>46262</v>
      </c>
      <c r="D141" t="s">
        <v>26</v>
      </c>
      <c r="E141" t="s">
        <v>45</v>
      </c>
      <c r="F141" t="s">
        <v>28</v>
      </c>
      <c r="G141" t="s">
        <v>88</v>
      </c>
      <c r="H141" t="s">
        <v>89</v>
      </c>
      <c r="I141" t="s">
        <v>38</v>
      </c>
      <c r="J141" t="s">
        <v>38</v>
      </c>
      <c r="K141" s="14" t="str">
        <f t="shared" si="8"/>
        <v>Edo → Kano</v>
      </c>
      <c r="L141" t="s">
        <v>41</v>
      </c>
      <c r="M141">
        <v>48</v>
      </c>
      <c r="N141">
        <v>46</v>
      </c>
      <c r="O141">
        <v>2</v>
      </c>
      <c r="P141">
        <v>405</v>
      </c>
      <c r="Q141" s="14" t="str">
        <f t="shared" si="9"/>
        <v>251–500 km</v>
      </c>
      <c r="R141" s="14" t="str">
        <f>IF(Table2[[#This Row],[Distance Bands]]="0–100 km","Short",
IF(Table2[[#This Row],[Distance Bands]]="101–250 km","Medium",
IF(Table2[[#This Row],[Distance Bands]]="251–500 km","Long",
IF(Table2[[#This Row],[Distance Bands]]="501–1,000 km","Very Long",
"Extreme"))))</f>
        <v>Long</v>
      </c>
      <c r="S141" s="13">
        <f>Table2[[#This Row],[Freight_Cost_NGN]]/Table2[[#This Row],[Distance_km]]</f>
        <v>1904.4518518518519</v>
      </c>
      <c r="T141">
        <v>4</v>
      </c>
      <c r="U141">
        <v>6</v>
      </c>
      <c r="V141" s="14">
        <f>Table2[[#This Row],[Actual_Transit_Days]]-Table2[[#This Row],[Planned_Transit_Days]]</f>
        <v>2</v>
      </c>
      <c r="W141">
        <v>771303</v>
      </c>
      <c r="X141">
        <v>812874</v>
      </c>
      <c r="Y141" t="s">
        <v>33</v>
      </c>
      <c r="Z141" s="14">
        <f>IF(Table2[[#This Row],[Delivery_Date]]&lt;=Table2[[#This Row],[Planned_Date]],1,0)</f>
        <v>0</v>
      </c>
      <c r="AA141" s="18">
        <f>Table2[[#This Row],[Units_Damaged]]/Table2[[#This Row],[Units_Shipped]]</f>
        <v>4.1666666666666664E-2</v>
      </c>
      <c r="AB141">
        <f t="shared" si="10"/>
        <v>-41571</v>
      </c>
      <c r="AC141" s="17">
        <f t="shared" si="11"/>
        <v>-5.114076720377328E-2</v>
      </c>
    </row>
    <row r="142" spans="1:29" x14ac:dyDescent="0.25">
      <c r="A142" t="s">
        <v>214</v>
      </c>
      <c r="B142" s="1">
        <v>46258</v>
      </c>
      <c r="C142" s="1">
        <v>46109</v>
      </c>
      <c r="D142" t="s">
        <v>77</v>
      </c>
      <c r="E142" t="s">
        <v>52</v>
      </c>
      <c r="F142" t="s">
        <v>53</v>
      </c>
      <c r="G142" t="s">
        <v>30</v>
      </c>
      <c r="H142" t="s">
        <v>31</v>
      </c>
      <c r="I142" t="s">
        <v>88</v>
      </c>
      <c r="J142" t="s">
        <v>89</v>
      </c>
      <c r="K142" s="14" t="str">
        <f t="shared" si="8"/>
        <v>Kwara → Edo</v>
      </c>
      <c r="L142" t="s">
        <v>32</v>
      </c>
      <c r="M142">
        <v>59</v>
      </c>
      <c r="N142">
        <v>58</v>
      </c>
      <c r="O142">
        <v>1</v>
      </c>
      <c r="P142">
        <v>232</v>
      </c>
      <c r="Q142" s="14" t="str">
        <f t="shared" si="9"/>
        <v>101–250 km</v>
      </c>
      <c r="R142" s="14" t="str">
        <f>IF(Table2[[#This Row],[Distance Bands]]="0–100 km","Short",
IF(Table2[[#This Row],[Distance Bands]]="101–250 km","Medium",
IF(Table2[[#This Row],[Distance Bands]]="251–500 km","Long",
IF(Table2[[#This Row],[Distance Bands]]="501–1,000 km","Very Long",
"Extreme"))))</f>
        <v>Medium</v>
      </c>
      <c r="S142" s="13">
        <f>Table2[[#This Row],[Freight_Cost_NGN]]/Table2[[#This Row],[Distance_km]]</f>
        <v>2417.1336206896553</v>
      </c>
      <c r="T142">
        <v>4</v>
      </c>
      <c r="U142">
        <v>6</v>
      </c>
      <c r="V142" s="14">
        <f>Table2[[#This Row],[Actual_Transit_Days]]-Table2[[#This Row],[Planned_Transit_Days]]</f>
        <v>2</v>
      </c>
      <c r="W142">
        <v>560775</v>
      </c>
      <c r="X142">
        <v>563319</v>
      </c>
      <c r="Y142" t="s">
        <v>33</v>
      </c>
      <c r="Z142" s="14">
        <f>IF(Table2[[#This Row],[Delivery_Date]]&lt;=Table2[[#This Row],[Planned_Date]],1,0)</f>
        <v>1</v>
      </c>
      <c r="AA142" s="18">
        <f>Table2[[#This Row],[Units_Damaged]]/Table2[[#This Row],[Units_Shipped]]</f>
        <v>1.6949152542372881E-2</v>
      </c>
      <c r="AB142">
        <f t="shared" si="10"/>
        <v>-2544</v>
      </c>
      <c r="AC142" s="17">
        <f t="shared" si="11"/>
        <v>-4.5160912378243946E-3</v>
      </c>
    </row>
    <row r="143" spans="1:29" x14ac:dyDescent="0.25">
      <c r="A143" t="s">
        <v>215</v>
      </c>
      <c r="B143" s="1">
        <v>46259</v>
      </c>
      <c r="C143" s="1">
        <v>46035</v>
      </c>
      <c r="D143" t="s">
        <v>26</v>
      </c>
      <c r="E143" t="s">
        <v>67</v>
      </c>
      <c r="F143" t="s">
        <v>46</v>
      </c>
      <c r="G143" t="s">
        <v>38</v>
      </c>
      <c r="H143" t="s">
        <v>38</v>
      </c>
      <c r="I143" t="s">
        <v>30</v>
      </c>
      <c r="J143" t="s">
        <v>31</v>
      </c>
      <c r="K143" s="14" t="str">
        <f t="shared" si="8"/>
        <v>Kano → Kwara</v>
      </c>
      <c r="L143" t="s">
        <v>41</v>
      </c>
      <c r="M143">
        <v>96</v>
      </c>
      <c r="N143">
        <v>93</v>
      </c>
      <c r="O143">
        <v>3</v>
      </c>
      <c r="P143">
        <v>651</v>
      </c>
      <c r="Q143" s="14" t="str">
        <f t="shared" si="9"/>
        <v>501–1,000 km</v>
      </c>
      <c r="R143" s="14" t="str">
        <f>IF(Table2[[#This Row],[Distance Bands]]="0–100 km","Short",
IF(Table2[[#This Row],[Distance Bands]]="101–250 km","Medium",
IF(Table2[[#This Row],[Distance Bands]]="251–500 km","Long",
IF(Table2[[#This Row],[Distance Bands]]="501–1,000 km","Very Long",
"Extreme"))))</f>
        <v>Very Long</v>
      </c>
      <c r="S143" s="13">
        <f>Table2[[#This Row],[Freight_Cost_NGN]]/Table2[[#This Row],[Distance_km]]</f>
        <v>2607.7281105990783</v>
      </c>
      <c r="T143">
        <v>6</v>
      </c>
      <c r="U143">
        <v>6</v>
      </c>
      <c r="V143" s="14">
        <f>Table2[[#This Row],[Actual_Transit_Days]]-Table2[[#This Row],[Planned_Transit_Days]]</f>
        <v>0</v>
      </c>
      <c r="W143">
        <v>1697631</v>
      </c>
      <c r="X143">
        <v>1822780</v>
      </c>
      <c r="Y143" t="s">
        <v>42</v>
      </c>
      <c r="Z143" s="14">
        <f>IF(Table2[[#This Row],[Delivery_Date]]&lt;=Table2[[#This Row],[Planned_Date]],1,0)</f>
        <v>1</v>
      </c>
      <c r="AA143" s="18">
        <f>Table2[[#This Row],[Units_Damaged]]/Table2[[#This Row],[Units_Shipped]]</f>
        <v>3.125E-2</v>
      </c>
      <c r="AB143">
        <f t="shared" si="10"/>
        <v>-125149</v>
      </c>
      <c r="AC143" s="17">
        <f t="shared" si="11"/>
        <v>-6.8658313126104084E-2</v>
      </c>
    </row>
    <row r="144" spans="1:29" x14ac:dyDescent="0.25">
      <c r="A144" t="s">
        <v>216</v>
      </c>
      <c r="B144" s="1">
        <v>46260</v>
      </c>
      <c r="C144" s="1">
        <v>46066</v>
      </c>
      <c r="D144" t="s">
        <v>44</v>
      </c>
      <c r="E144" t="s">
        <v>36</v>
      </c>
      <c r="F144" t="s">
        <v>46</v>
      </c>
      <c r="G144" t="s">
        <v>88</v>
      </c>
      <c r="H144" t="s">
        <v>89</v>
      </c>
      <c r="I144" t="s">
        <v>39</v>
      </c>
      <c r="J144" t="s">
        <v>40</v>
      </c>
      <c r="K144" s="14" t="str">
        <f t="shared" si="8"/>
        <v>Edo → Anambra</v>
      </c>
      <c r="L144" t="s">
        <v>41</v>
      </c>
      <c r="M144">
        <v>40</v>
      </c>
      <c r="N144">
        <v>40</v>
      </c>
      <c r="O144">
        <v>0</v>
      </c>
      <c r="P144">
        <v>505</v>
      </c>
      <c r="Q144" s="14" t="str">
        <f t="shared" si="9"/>
        <v>501–1,000 km</v>
      </c>
      <c r="R144" s="14" t="str">
        <f>IF(Table2[[#This Row],[Distance Bands]]="0–100 km","Short",
IF(Table2[[#This Row],[Distance Bands]]="101–250 km","Medium",
IF(Table2[[#This Row],[Distance Bands]]="251–500 km","Long",
IF(Table2[[#This Row],[Distance Bands]]="501–1,000 km","Very Long",
"Extreme"))))</f>
        <v>Very Long</v>
      </c>
      <c r="S144" s="13">
        <f>Table2[[#This Row],[Freight_Cost_NGN]]/Table2[[#This Row],[Distance_km]]</f>
        <v>1077.4158415841584</v>
      </c>
      <c r="T144">
        <v>2</v>
      </c>
      <c r="U144">
        <v>2</v>
      </c>
      <c r="V144" s="14">
        <f>Table2[[#This Row],[Actual_Transit_Days]]-Table2[[#This Row],[Planned_Transit_Days]]</f>
        <v>0</v>
      </c>
      <c r="W144">
        <v>544095</v>
      </c>
      <c r="X144">
        <v>537748</v>
      </c>
      <c r="Y144" t="s">
        <v>42</v>
      </c>
      <c r="Z144" s="14">
        <f>IF(Table2[[#This Row],[Delivery_Date]]&lt;=Table2[[#This Row],[Planned_Date]],1,0)</f>
        <v>1</v>
      </c>
      <c r="AA144" s="18">
        <f>Table2[[#This Row],[Units_Damaged]]/Table2[[#This Row],[Units_Shipped]]</f>
        <v>0</v>
      </c>
      <c r="AB144">
        <f t="shared" si="10"/>
        <v>6347</v>
      </c>
      <c r="AC144" s="17">
        <f t="shared" si="11"/>
        <v>1.1802926277736039E-2</v>
      </c>
    </row>
    <row r="145" spans="1:29" x14ac:dyDescent="0.25">
      <c r="A145" t="s">
        <v>217</v>
      </c>
      <c r="B145" s="1">
        <v>46261</v>
      </c>
      <c r="C145" s="1">
        <v>46106</v>
      </c>
      <c r="D145" t="s">
        <v>44</v>
      </c>
      <c r="E145" t="s">
        <v>45</v>
      </c>
      <c r="F145" t="s">
        <v>46</v>
      </c>
      <c r="G145" t="s">
        <v>64</v>
      </c>
      <c r="H145" t="s">
        <v>65</v>
      </c>
      <c r="I145" t="s">
        <v>72</v>
      </c>
      <c r="J145" t="s">
        <v>72</v>
      </c>
      <c r="K145" s="14" t="str">
        <f t="shared" si="8"/>
        <v>Plateau → Lagos</v>
      </c>
      <c r="L145" t="s">
        <v>32</v>
      </c>
      <c r="M145">
        <v>158</v>
      </c>
      <c r="N145">
        <v>155</v>
      </c>
      <c r="O145">
        <v>3</v>
      </c>
      <c r="P145">
        <v>220</v>
      </c>
      <c r="Q145" s="14" t="str">
        <f t="shared" si="9"/>
        <v>101–250 km</v>
      </c>
      <c r="R145" s="14" t="str">
        <f>IF(Table2[[#This Row],[Distance Bands]]="0–100 km","Short",
IF(Table2[[#This Row],[Distance Bands]]="101–250 km","Medium",
IF(Table2[[#This Row],[Distance Bands]]="251–500 km","Long",
IF(Table2[[#This Row],[Distance Bands]]="501–1,000 km","Very Long",
"Extreme"))))</f>
        <v>Medium</v>
      </c>
      <c r="S145" s="13">
        <f>Table2[[#This Row],[Freight_Cost_NGN]]/Table2[[#This Row],[Distance_km]]</f>
        <v>6807.1272727272726</v>
      </c>
      <c r="T145">
        <v>5</v>
      </c>
      <c r="U145">
        <v>5</v>
      </c>
      <c r="V145" s="14">
        <f>Table2[[#This Row],[Actual_Transit_Days]]-Table2[[#This Row],[Planned_Transit_Days]]</f>
        <v>0</v>
      </c>
      <c r="W145">
        <v>1497568</v>
      </c>
      <c r="X145">
        <v>1653132</v>
      </c>
      <c r="Y145" t="s">
        <v>42</v>
      </c>
      <c r="Z145" s="14">
        <f>IF(Table2[[#This Row],[Delivery_Date]]&lt;=Table2[[#This Row],[Planned_Date]],1,0)</f>
        <v>1</v>
      </c>
      <c r="AA145" s="18">
        <f>Table2[[#This Row],[Units_Damaged]]/Table2[[#This Row],[Units_Shipped]]</f>
        <v>1.8987341772151899E-2</v>
      </c>
      <c r="AB145">
        <f t="shared" si="10"/>
        <v>-155564</v>
      </c>
      <c r="AC145" s="17">
        <f t="shared" si="11"/>
        <v>-9.4102588299059001E-2</v>
      </c>
    </row>
    <row r="146" spans="1:29" x14ac:dyDescent="0.25">
      <c r="A146" t="s">
        <v>218</v>
      </c>
      <c r="B146" s="1">
        <v>46262</v>
      </c>
      <c r="C146" s="1">
        <v>46114</v>
      </c>
      <c r="D146" t="s">
        <v>57</v>
      </c>
      <c r="E146" t="s">
        <v>67</v>
      </c>
      <c r="F146" t="s">
        <v>37</v>
      </c>
      <c r="G146" t="s">
        <v>49</v>
      </c>
      <c r="H146" t="s">
        <v>50</v>
      </c>
      <c r="I146" t="s">
        <v>91</v>
      </c>
      <c r="J146" t="s">
        <v>92</v>
      </c>
      <c r="K146" s="14" t="str">
        <f t="shared" si="8"/>
        <v>Niger → Delta</v>
      </c>
      <c r="L146" t="s">
        <v>41</v>
      </c>
      <c r="M146">
        <v>138</v>
      </c>
      <c r="N146">
        <v>136</v>
      </c>
      <c r="O146">
        <v>2</v>
      </c>
      <c r="P146">
        <v>91</v>
      </c>
      <c r="Q146" s="14" t="str">
        <f t="shared" si="9"/>
        <v>0–100 km</v>
      </c>
      <c r="R146" s="14" t="str">
        <f>IF(Table2[[#This Row],[Distance Bands]]="0–100 km","Short",
IF(Table2[[#This Row],[Distance Bands]]="101–250 km","Medium",
IF(Table2[[#This Row],[Distance Bands]]="251–500 km","Long",
IF(Table2[[#This Row],[Distance Bands]]="501–1,000 km","Very Long",
"Extreme"))))</f>
        <v>Short</v>
      </c>
      <c r="S146" s="13">
        <f>Table2[[#This Row],[Freight_Cost_NGN]]/Table2[[#This Row],[Distance_km]]</f>
        <v>18712.483516483517</v>
      </c>
      <c r="T146">
        <v>4</v>
      </c>
      <c r="U146">
        <v>6</v>
      </c>
      <c r="V146" s="14">
        <f>Table2[[#This Row],[Actual_Transit_Days]]-Table2[[#This Row],[Planned_Transit_Days]]</f>
        <v>2</v>
      </c>
      <c r="W146">
        <v>1702836</v>
      </c>
      <c r="X146">
        <v>1676451</v>
      </c>
      <c r="Y146" t="s">
        <v>33</v>
      </c>
      <c r="Z146" s="14">
        <f>IF(Table2[[#This Row],[Delivery_Date]]&lt;=Table2[[#This Row],[Planned_Date]],1,0)</f>
        <v>1</v>
      </c>
      <c r="AA146" s="18">
        <f>Table2[[#This Row],[Units_Damaged]]/Table2[[#This Row],[Units_Shipped]]</f>
        <v>1.4492753623188406E-2</v>
      </c>
      <c r="AB146">
        <f t="shared" si="10"/>
        <v>26385</v>
      </c>
      <c r="AC146" s="17">
        <f t="shared" si="11"/>
        <v>1.5738604945805156E-2</v>
      </c>
    </row>
    <row r="147" spans="1:29" x14ac:dyDescent="0.25">
      <c r="A147" t="s">
        <v>219</v>
      </c>
      <c r="B147" s="1">
        <v>46263</v>
      </c>
      <c r="C147" s="1">
        <v>46055</v>
      </c>
      <c r="D147" t="s">
        <v>57</v>
      </c>
      <c r="E147" t="s">
        <v>36</v>
      </c>
      <c r="F147" t="s">
        <v>46</v>
      </c>
      <c r="G147" t="s">
        <v>58</v>
      </c>
      <c r="H147" t="s">
        <v>59</v>
      </c>
      <c r="I147" t="s">
        <v>54</v>
      </c>
      <c r="J147" t="s">
        <v>55</v>
      </c>
      <c r="K147" s="14" t="str">
        <f t="shared" si="8"/>
        <v>Ogun → Rivers</v>
      </c>
      <c r="L147" t="s">
        <v>41</v>
      </c>
      <c r="M147">
        <v>29</v>
      </c>
      <c r="N147">
        <v>28</v>
      </c>
      <c r="O147">
        <v>1</v>
      </c>
      <c r="P147">
        <v>277</v>
      </c>
      <c r="Q147" s="14" t="str">
        <f t="shared" si="9"/>
        <v>251–500 km</v>
      </c>
      <c r="R147" s="14" t="str">
        <f>IF(Table2[[#This Row],[Distance Bands]]="0–100 km","Short",
IF(Table2[[#This Row],[Distance Bands]]="101–250 km","Medium",
IF(Table2[[#This Row],[Distance Bands]]="251–500 km","Long",
IF(Table2[[#This Row],[Distance Bands]]="501–1,000 km","Very Long",
"Extreme"))))</f>
        <v>Long</v>
      </c>
      <c r="S147" s="13">
        <f>Table2[[#This Row],[Freight_Cost_NGN]]/Table2[[#This Row],[Distance_km]]</f>
        <v>1161.0072202166066</v>
      </c>
      <c r="T147">
        <v>4</v>
      </c>
      <c r="U147">
        <v>9</v>
      </c>
      <c r="V147" s="14">
        <f>Table2[[#This Row],[Actual_Transit_Days]]-Table2[[#This Row],[Planned_Transit_Days]]</f>
        <v>5</v>
      </c>
      <c r="W147">
        <v>321599</v>
      </c>
      <c r="X147">
        <v>327198</v>
      </c>
      <c r="Y147" t="s">
        <v>75</v>
      </c>
      <c r="Z147" s="14">
        <f>IF(Table2[[#This Row],[Delivery_Date]]&lt;=Table2[[#This Row],[Planned_Date]],1,0)</f>
        <v>1</v>
      </c>
      <c r="AA147" s="18">
        <f>Table2[[#This Row],[Units_Damaged]]/Table2[[#This Row],[Units_Shipped]]</f>
        <v>3.4482758620689655E-2</v>
      </c>
      <c r="AB147">
        <f t="shared" si="10"/>
        <v>-5599</v>
      </c>
      <c r="AC147" s="17">
        <f t="shared" si="11"/>
        <v>-1.71119627870586E-2</v>
      </c>
    </row>
    <row r="148" spans="1:29" x14ac:dyDescent="0.25">
      <c r="A148" t="s">
        <v>220</v>
      </c>
      <c r="B148" s="1">
        <v>46264</v>
      </c>
      <c r="C148" s="1">
        <v>46170</v>
      </c>
      <c r="D148" t="s">
        <v>77</v>
      </c>
      <c r="E148" t="s">
        <v>27</v>
      </c>
      <c r="F148" t="s">
        <v>53</v>
      </c>
      <c r="G148" t="s">
        <v>91</v>
      </c>
      <c r="H148" t="s">
        <v>92</v>
      </c>
      <c r="I148" t="s">
        <v>64</v>
      </c>
      <c r="J148" t="s">
        <v>65</v>
      </c>
      <c r="K148" s="14" t="str">
        <f t="shared" si="8"/>
        <v>Delta → Plateau</v>
      </c>
      <c r="L148" t="s">
        <v>41</v>
      </c>
      <c r="M148">
        <v>29</v>
      </c>
      <c r="N148">
        <v>28</v>
      </c>
      <c r="O148">
        <v>1</v>
      </c>
      <c r="P148">
        <v>103</v>
      </c>
      <c r="Q148" s="14" t="str">
        <f t="shared" si="9"/>
        <v>101–250 km</v>
      </c>
      <c r="R148" s="14" t="str">
        <f>IF(Table2[[#This Row],[Distance Bands]]="0–100 km","Short",
IF(Table2[[#This Row],[Distance Bands]]="101–250 km","Medium",
IF(Table2[[#This Row],[Distance Bands]]="251–500 km","Long",
IF(Table2[[#This Row],[Distance Bands]]="501–1,000 km","Very Long",
"Extreme"))))</f>
        <v>Medium</v>
      </c>
      <c r="S148" s="13">
        <f>Table2[[#This Row],[Freight_Cost_NGN]]/Table2[[#This Row],[Distance_km]]</f>
        <v>3926.5922330097087</v>
      </c>
      <c r="T148">
        <v>3</v>
      </c>
      <c r="U148">
        <v>3</v>
      </c>
      <c r="V148" s="14">
        <f>Table2[[#This Row],[Actual_Transit_Days]]-Table2[[#This Row],[Planned_Transit_Days]]</f>
        <v>0</v>
      </c>
      <c r="W148">
        <v>404439</v>
      </c>
      <c r="X148">
        <v>434911</v>
      </c>
      <c r="Y148" t="s">
        <v>42</v>
      </c>
      <c r="Z148" s="14">
        <f>IF(Table2[[#This Row],[Delivery_Date]]&lt;=Table2[[#This Row],[Planned_Date]],1,0)</f>
        <v>1</v>
      </c>
      <c r="AA148" s="18">
        <f>Table2[[#This Row],[Units_Damaged]]/Table2[[#This Row],[Units_Shipped]]</f>
        <v>3.4482758620689655E-2</v>
      </c>
      <c r="AB148">
        <f t="shared" si="10"/>
        <v>-30472</v>
      </c>
      <c r="AC148" s="17">
        <f t="shared" si="11"/>
        <v>-7.0064909832126571E-2</v>
      </c>
    </row>
    <row r="149" spans="1:29" x14ac:dyDescent="0.25">
      <c r="A149" t="s">
        <v>221</v>
      </c>
      <c r="B149" s="1">
        <v>46265</v>
      </c>
      <c r="C149" s="1">
        <v>46092</v>
      </c>
      <c r="D149" t="s">
        <v>62</v>
      </c>
      <c r="E149" t="s">
        <v>57</v>
      </c>
      <c r="F149" t="s">
        <v>46</v>
      </c>
      <c r="G149" t="s">
        <v>58</v>
      </c>
      <c r="H149" t="s">
        <v>59</v>
      </c>
      <c r="I149" t="s">
        <v>68</v>
      </c>
      <c r="J149" t="s">
        <v>69</v>
      </c>
      <c r="K149" s="14" t="str">
        <f t="shared" si="8"/>
        <v>Ogun → Abia</v>
      </c>
      <c r="L149" t="s">
        <v>60</v>
      </c>
      <c r="M149">
        <v>47</v>
      </c>
      <c r="N149">
        <v>47</v>
      </c>
      <c r="O149">
        <v>0</v>
      </c>
      <c r="P149">
        <v>278</v>
      </c>
      <c r="Q149" s="14" t="str">
        <f t="shared" si="9"/>
        <v>251–500 km</v>
      </c>
      <c r="R149" s="14" t="str">
        <f>IF(Table2[[#This Row],[Distance Bands]]="0–100 km","Short",
IF(Table2[[#This Row],[Distance Bands]]="101–250 km","Medium",
IF(Table2[[#This Row],[Distance Bands]]="251–500 km","Long",
IF(Table2[[#This Row],[Distance Bands]]="501–1,000 km","Very Long",
"Extreme"))))</f>
        <v>Long</v>
      </c>
      <c r="S149" s="13">
        <f>Table2[[#This Row],[Freight_Cost_NGN]]/Table2[[#This Row],[Distance_km]]</f>
        <v>1936.3776978417266</v>
      </c>
      <c r="T149">
        <v>6</v>
      </c>
      <c r="U149">
        <v>6</v>
      </c>
      <c r="V149" s="14">
        <f>Table2[[#This Row],[Actual_Transit_Days]]-Table2[[#This Row],[Planned_Transit_Days]]</f>
        <v>0</v>
      </c>
      <c r="W149">
        <v>538313</v>
      </c>
      <c r="X149">
        <v>511615</v>
      </c>
      <c r="Y149" t="s">
        <v>42</v>
      </c>
      <c r="Z149" s="14">
        <f>IF(Table2[[#This Row],[Delivery_Date]]&lt;=Table2[[#This Row],[Planned_Date]],1,0)</f>
        <v>1</v>
      </c>
      <c r="AA149" s="18">
        <f>Table2[[#This Row],[Units_Damaged]]/Table2[[#This Row],[Units_Shipped]]</f>
        <v>0</v>
      </c>
      <c r="AB149">
        <f t="shared" si="10"/>
        <v>26698</v>
      </c>
      <c r="AC149" s="17">
        <f t="shared" si="11"/>
        <v>5.2183770999677491E-2</v>
      </c>
    </row>
    <row r="150" spans="1:29" x14ac:dyDescent="0.25">
      <c r="A150" t="s">
        <v>222</v>
      </c>
      <c r="B150" s="1">
        <v>46266</v>
      </c>
      <c r="C150" s="1">
        <v>46165</v>
      </c>
      <c r="D150" t="s">
        <v>35</v>
      </c>
      <c r="E150" t="s">
        <v>27</v>
      </c>
      <c r="F150" t="s">
        <v>53</v>
      </c>
      <c r="G150" t="s">
        <v>29</v>
      </c>
      <c r="H150" t="s">
        <v>29</v>
      </c>
      <c r="I150" t="s">
        <v>73</v>
      </c>
      <c r="J150" t="s">
        <v>74</v>
      </c>
      <c r="K150" s="14" t="str">
        <f t="shared" si="8"/>
        <v>Kaduna → Oyo</v>
      </c>
      <c r="L150" t="s">
        <v>41</v>
      </c>
      <c r="M150">
        <v>119</v>
      </c>
      <c r="N150">
        <v>117</v>
      </c>
      <c r="O150">
        <v>2</v>
      </c>
      <c r="P150">
        <v>287</v>
      </c>
      <c r="Q150" s="14" t="str">
        <f t="shared" si="9"/>
        <v>251–500 km</v>
      </c>
      <c r="R150" s="14" t="str">
        <f>IF(Table2[[#This Row],[Distance Bands]]="0–100 km","Short",
IF(Table2[[#This Row],[Distance Bands]]="101–250 km","Medium",
IF(Table2[[#This Row],[Distance Bands]]="251–500 km","Long",
IF(Table2[[#This Row],[Distance Bands]]="501–1,000 km","Very Long",
"Extreme"))))</f>
        <v>Long</v>
      </c>
      <c r="S150" s="13">
        <f>Table2[[#This Row],[Freight_Cost_NGN]]/Table2[[#This Row],[Distance_km]]</f>
        <v>5828.9756097560976</v>
      </c>
      <c r="T150">
        <v>2</v>
      </c>
      <c r="U150">
        <v>2</v>
      </c>
      <c r="V150" s="14">
        <f>Table2[[#This Row],[Actual_Transit_Days]]-Table2[[#This Row],[Planned_Transit_Days]]</f>
        <v>0</v>
      </c>
      <c r="W150">
        <v>1672916</v>
      </c>
      <c r="X150">
        <v>1745872</v>
      </c>
      <c r="Y150" t="s">
        <v>42</v>
      </c>
      <c r="Z150" s="14">
        <f>IF(Table2[[#This Row],[Delivery_Date]]&lt;=Table2[[#This Row],[Planned_Date]],1,0)</f>
        <v>1</v>
      </c>
      <c r="AA150" s="18">
        <f>Table2[[#This Row],[Units_Damaged]]/Table2[[#This Row],[Units_Shipped]]</f>
        <v>1.680672268907563E-2</v>
      </c>
      <c r="AB150">
        <f t="shared" si="10"/>
        <v>-72956</v>
      </c>
      <c r="AC150" s="17">
        <f t="shared" si="11"/>
        <v>-4.1787714105043214E-2</v>
      </c>
    </row>
    <row r="151" spans="1:29" x14ac:dyDescent="0.25">
      <c r="A151" t="s">
        <v>223</v>
      </c>
      <c r="B151" s="1">
        <v>46267</v>
      </c>
      <c r="C151" s="1">
        <v>46086</v>
      </c>
      <c r="D151" t="s">
        <v>62</v>
      </c>
      <c r="E151" t="s">
        <v>27</v>
      </c>
      <c r="F151" t="s">
        <v>63</v>
      </c>
      <c r="G151" t="s">
        <v>30</v>
      </c>
      <c r="H151" t="s">
        <v>31</v>
      </c>
      <c r="I151" t="s">
        <v>68</v>
      </c>
      <c r="J151" t="s">
        <v>69</v>
      </c>
      <c r="K151" s="14" t="str">
        <f t="shared" si="8"/>
        <v>Kwara → Abia</v>
      </c>
      <c r="L151" t="s">
        <v>41</v>
      </c>
      <c r="M151">
        <v>67</v>
      </c>
      <c r="N151">
        <v>65</v>
      </c>
      <c r="O151">
        <v>2</v>
      </c>
      <c r="P151">
        <v>509</v>
      </c>
      <c r="Q151" s="14" t="str">
        <f t="shared" si="9"/>
        <v>501–1,000 km</v>
      </c>
      <c r="R151" s="14" t="str">
        <f>IF(Table2[[#This Row],[Distance Bands]]="0–100 km","Short",
IF(Table2[[#This Row],[Distance Bands]]="101–250 km","Medium",
IF(Table2[[#This Row],[Distance Bands]]="251–500 km","Long",
IF(Table2[[#This Row],[Distance Bands]]="501–1,000 km","Very Long",
"Extreme"))))</f>
        <v>Very Long</v>
      </c>
      <c r="S151" s="13">
        <f>Table2[[#This Row],[Freight_Cost_NGN]]/Table2[[#This Row],[Distance_km]]</f>
        <v>1839.271119842829</v>
      </c>
      <c r="T151">
        <v>4</v>
      </c>
      <c r="U151">
        <v>8</v>
      </c>
      <c r="V151" s="14">
        <f>Table2[[#This Row],[Actual_Transit_Days]]-Table2[[#This Row],[Planned_Transit_Days]]</f>
        <v>4</v>
      </c>
      <c r="W151">
        <v>936189</v>
      </c>
      <c r="X151">
        <v>983761</v>
      </c>
      <c r="Y151" t="s">
        <v>75</v>
      </c>
      <c r="Z151" s="14">
        <f>IF(Table2[[#This Row],[Delivery_Date]]&lt;=Table2[[#This Row],[Planned_Date]],1,0)</f>
        <v>1</v>
      </c>
      <c r="AA151" s="18">
        <f>Table2[[#This Row],[Units_Damaged]]/Table2[[#This Row],[Units_Shipped]]</f>
        <v>2.9850746268656716E-2</v>
      </c>
      <c r="AB151">
        <f t="shared" si="10"/>
        <v>-47572</v>
      </c>
      <c r="AC151" s="17">
        <f t="shared" si="11"/>
        <v>-4.8357273768730412E-2</v>
      </c>
    </row>
    <row r="152" spans="1:29" x14ac:dyDescent="0.25">
      <c r="A152" t="s">
        <v>224</v>
      </c>
      <c r="B152" s="1">
        <v>46268</v>
      </c>
      <c r="C152" s="1">
        <v>46158</v>
      </c>
      <c r="D152" t="s">
        <v>62</v>
      </c>
      <c r="E152" t="s">
        <v>27</v>
      </c>
      <c r="F152" t="s">
        <v>28</v>
      </c>
      <c r="G152" t="s">
        <v>54</v>
      </c>
      <c r="H152" t="s">
        <v>55</v>
      </c>
      <c r="I152" t="s">
        <v>29</v>
      </c>
      <c r="J152" t="s">
        <v>29</v>
      </c>
      <c r="K152" s="14" t="str">
        <f t="shared" si="8"/>
        <v>Rivers → Kaduna</v>
      </c>
      <c r="L152" t="s">
        <v>41</v>
      </c>
      <c r="M152">
        <v>83</v>
      </c>
      <c r="N152">
        <v>83</v>
      </c>
      <c r="O152">
        <v>0</v>
      </c>
      <c r="P152">
        <v>685</v>
      </c>
      <c r="Q152" s="14" t="str">
        <f t="shared" si="9"/>
        <v>501–1,000 km</v>
      </c>
      <c r="R152" s="14" t="str">
        <f>IF(Table2[[#This Row],[Distance Bands]]="0–100 km","Short",
IF(Table2[[#This Row],[Distance Bands]]="101–250 km","Medium",
IF(Table2[[#This Row],[Distance Bands]]="251–500 km","Long",
IF(Table2[[#This Row],[Distance Bands]]="501–1,000 km","Very Long",
"Extreme"))))</f>
        <v>Very Long</v>
      </c>
      <c r="S152" s="13">
        <f>Table2[[#This Row],[Freight_Cost_NGN]]/Table2[[#This Row],[Distance_km]]</f>
        <v>1831.3489051094891</v>
      </c>
      <c r="T152">
        <v>2</v>
      </c>
      <c r="U152">
        <v>2</v>
      </c>
      <c r="V152" s="14">
        <f>Table2[[#This Row],[Actual_Transit_Days]]-Table2[[#This Row],[Planned_Transit_Days]]</f>
        <v>0</v>
      </c>
      <c r="W152">
        <v>1254474</v>
      </c>
      <c r="X152">
        <v>1201709</v>
      </c>
      <c r="Y152" t="s">
        <v>42</v>
      </c>
      <c r="Z152" s="14">
        <f>IF(Table2[[#This Row],[Delivery_Date]]&lt;=Table2[[#This Row],[Planned_Date]],1,0)</f>
        <v>1</v>
      </c>
      <c r="AA152" s="18">
        <f>Table2[[#This Row],[Units_Damaged]]/Table2[[#This Row],[Units_Shipped]]</f>
        <v>0</v>
      </c>
      <c r="AB152">
        <f t="shared" si="10"/>
        <v>52765</v>
      </c>
      <c r="AC152" s="17">
        <f t="shared" si="11"/>
        <v>4.3908300595235622E-2</v>
      </c>
    </row>
    <row r="153" spans="1:29" x14ac:dyDescent="0.25">
      <c r="A153" t="s">
        <v>225</v>
      </c>
      <c r="B153" s="1">
        <v>46269</v>
      </c>
      <c r="C153" s="1">
        <v>46241</v>
      </c>
      <c r="D153" t="s">
        <v>57</v>
      </c>
      <c r="E153" t="s">
        <v>52</v>
      </c>
      <c r="F153" t="s">
        <v>63</v>
      </c>
      <c r="G153" t="s">
        <v>58</v>
      </c>
      <c r="H153" t="s">
        <v>59</v>
      </c>
      <c r="I153" t="s">
        <v>68</v>
      </c>
      <c r="J153" t="s">
        <v>69</v>
      </c>
      <c r="K153" s="14" t="str">
        <f t="shared" si="8"/>
        <v>Ogun → Abia</v>
      </c>
      <c r="L153" t="s">
        <v>32</v>
      </c>
      <c r="M153">
        <v>143</v>
      </c>
      <c r="N153">
        <v>141</v>
      </c>
      <c r="O153">
        <v>2</v>
      </c>
      <c r="P153">
        <v>727</v>
      </c>
      <c r="Q153" s="14" t="str">
        <f t="shared" si="9"/>
        <v>501–1,000 km</v>
      </c>
      <c r="R153" s="14" t="str">
        <f>IF(Table2[[#This Row],[Distance Bands]]="0–100 km","Short",
IF(Table2[[#This Row],[Distance Bands]]="101–250 km","Medium",
IF(Table2[[#This Row],[Distance Bands]]="251–500 km","Long",
IF(Table2[[#This Row],[Distance Bands]]="501–1,000 km","Very Long",
"Extreme"))))</f>
        <v>Very Long</v>
      </c>
      <c r="S153" s="13">
        <f>Table2[[#This Row],[Freight_Cost_NGN]]/Table2[[#This Row],[Distance_km]]</f>
        <v>2529.4181568088034</v>
      </c>
      <c r="T153">
        <v>2</v>
      </c>
      <c r="U153">
        <v>2</v>
      </c>
      <c r="V153" s="14">
        <f>Table2[[#This Row],[Actual_Transit_Days]]-Table2[[#This Row],[Planned_Transit_Days]]</f>
        <v>0</v>
      </c>
      <c r="W153">
        <v>1838887</v>
      </c>
      <c r="X153">
        <v>1789611</v>
      </c>
      <c r="Y153" t="s">
        <v>42</v>
      </c>
      <c r="Z153" s="14">
        <f>IF(Table2[[#This Row],[Delivery_Date]]&lt;=Table2[[#This Row],[Planned_Date]],1,0)</f>
        <v>1</v>
      </c>
      <c r="AA153" s="18">
        <f>Table2[[#This Row],[Units_Damaged]]/Table2[[#This Row],[Units_Shipped]]</f>
        <v>1.3986013986013986E-2</v>
      </c>
      <c r="AB153">
        <f t="shared" si="10"/>
        <v>49276</v>
      </c>
      <c r="AC153" s="17">
        <f t="shared" si="11"/>
        <v>2.7534475369228286E-2</v>
      </c>
    </row>
    <row r="154" spans="1:29" x14ac:dyDescent="0.25">
      <c r="A154" t="s">
        <v>226</v>
      </c>
      <c r="B154" s="1">
        <v>46270</v>
      </c>
      <c r="C154" s="1">
        <v>46202</v>
      </c>
      <c r="D154" t="s">
        <v>77</v>
      </c>
      <c r="E154" t="s">
        <v>85</v>
      </c>
      <c r="F154" t="s">
        <v>63</v>
      </c>
      <c r="G154" t="s">
        <v>30</v>
      </c>
      <c r="H154" t="s">
        <v>31</v>
      </c>
      <c r="I154" t="s">
        <v>68</v>
      </c>
      <c r="J154" t="s">
        <v>69</v>
      </c>
      <c r="K154" s="14" t="str">
        <f t="shared" si="8"/>
        <v>Kwara → Abia</v>
      </c>
      <c r="L154" t="s">
        <v>32</v>
      </c>
      <c r="M154">
        <v>117</v>
      </c>
      <c r="N154">
        <v>114</v>
      </c>
      <c r="O154">
        <v>3</v>
      </c>
      <c r="P154">
        <v>129</v>
      </c>
      <c r="Q154" s="14" t="str">
        <f t="shared" si="9"/>
        <v>101–250 km</v>
      </c>
      <c r="R154" s="14" t="str">
        <f>IF(Table2[[#This Row],[Distance Bands]]="0–100 km","Short",
IF(Table2[[#This Row],[Distance Bands]]="101–250 km","Medium",
IF(Table2[[#This Row],[Distance Bands]]="251–500 km","Long",
IF(Table2[[#This Row],[Distance Bands]]="501–1,000 km","Very Long",
"Extreme"))))</f>
        <v>Medium</v>
      </c>
      <c r="S154" s="13">
        <f>Table2[[#This Row],[Freight_Cost_NGN]]/Table2[[#This Row],[Distance_km]]</f>
        <v>4364.9069767441861</v>
      </c>
      <c r="T154">
        <v>3</v>
      </c>
      <c r="U154">
        <v>10</v>
      </c>
      <c r="V154" s="14">
        <f>Table2[[#This Row],[Actual_Transit_Days]]-Table2[[#This Row],[Planned_Transit_Days]]</f>
        <v>7</v>
      </c>
      <c r="W154">
        <v>563073</v>
      </c>
      <c r="X154">
        <v>553546</v>
      </c>
      <c r="Y154" t="s">
        <v>75</v>
      </c>
      <c r="Z154" s="14">
        <f>IF(Table2[[#This Row],[Delivery_Date]]&lt;=Table2[[#This Row],[Planned_Date]],1,0)</f>
        <v>1</v>
      </c>
      <c r="AA154" s="18">
        <f>Table2[[#This Row],[Units_Damaged]]/Table2[[#This Row],[Units_Shipped]]</f>
        <v>2.564102564102564E-2</v>
      </c>
      <c r="AB154">
        <f t="shared" si="10"/>
        <v>9527</v>
      </c>
      <c r="AC154" s="17">
        <f t="shared" si="11"/>
        <v>1.7210855105086117E-2</v>
      </c>
    </row>
    <row r="155" spans="1:29" x14ac:dyDescent="0.25">
      <c r="A155" t="s">
        <v>227</v>
      </c>
      <c r="B155" s="1">
        <v>46271</v>
      </c>
      <c r="C155" s="1">
        <v>46090</v>
      </c>
      <c r="D155" t="s">
        <v>62</v>
      </c>
      <c r="E155" t="s">
        <v>36</v>
      </c>
      <c r="F155" t="s">
        <v>63</v>
      </c>
      <c r="G155" t="s">
        <v>72</v>
      </c>
      <c r="H155" t="s">
        <v>72</v>
      </c>
      <c r="I155" t="s">
        <v>49</v>
      </c>
      <c r="J155" t="s">
        <v>50</v>
      </c>
      <c r="K155" s="14" t="str">
        <f t="shared" si="8"/>
        <v>Lagos → Niger</v>
      </c>
      <c r="L155" t="s">
        <v>41</v>
      </c>
      <c r="M155">
        <v>32</v>
      </c>
      <c r="N155">
        <v>31</v>
      </c>
      <c r="O155">
        <v>1</v>
      </c>
      <c r="P155">
        <v>739</v>
      </c>
      <c r="Q155" s="14" t="str">
        <f t="shared" si="9"/>
        <v>501–1,000 km</v>
      </c>
      <c r="R155" s="14" t="str">
        <f>IF(Table2[[#This Row],[Distance Bands]]="0–100 km","Short",
IF(Table2[[#This Row],[Distance Bands]]="101–250 km","Medium",
IF(Table2[[#This Row],[Distance Bands]]="251–500 km","Long",
IF(Table2[[#This Row],[Distance Bands]]="501–1,000 km","Very Long",
"Extreme"))))</f>
        <v>Very Long</v>
      </c>
      <c r="S155" s="13">
        <f>Table2[[#This Row],[Freight_Cost_NGN]]/Table2[[#This Row],[Distance_km]]</f>
        <v>820.41677943166439</v>
      </c>
      <c r="T155">
        <v>3</v>
      </c>
      <c r="U155">
        <v>6</v>
      </c>
      <c r="V155" s="14">
        <f>Table2[[#This Row],[Actual_Transit_Days]]-Table2[[#This Row],[Planned_Transit_Days]]</f>
        <v>3</v>
      </c>
      <c r="W155">
        <v>606288</v>
      </c>
      <c r="X155">
        <v>612365</v>
      </c>
      <c r="Y155" t="s">
        <v>33</v>
      </c>
      <c r="Z155" s="14">
        <f>IF(Table2[[#This Row],[Delivery_Date]]&lt;=Table2[[#This Row],[Planned_Date]],1,0)</f>
        <v>1</v>
      </c>
      <c r="AA155" s="18">
        <f>Table2[[#This Row],[Units_Damaged]]/Table2[[#This Row],[Units_Shipped]]</f>
        <v>3.125E-2</v>
      </c>
      <c r="AB155">
        <f t="shared" si="10"/>
        <v>-6077</v>
      </c>
      <c r="AC155" s="17">
        <f t="shared" si="11"/>
        <v>-9.9238199439876541E-3</v>
      </c>
    </row>
    <row r="156" spans="1:29" x14ac:dyDescent="0.25">
      <c r="A156" t="s">
        <v>228</v>
      </c>
      <c r="B156" s="1">
        <v>46272</v>
      </c>
      <c r="C156" s="1">
        <v>46118</v>
      </c>
      <c r="D156" t="s">
        <v>35</v>
      </c>
      <c r="E156" t="s">
        <v>27</v>
      </c>
      <c r="F156" t="s">
        <v>53</v>
      </c>
      <c r="G156" t="s">
        <v>39</v>
      </c>
      <c r="H156" t="s">
        <v>40</v>
      </c>
      <c r="I156" t="s">
        <v>72</v>
      </c>
      <c r="J156" t="s">
        <v>72</v>
      </c>
      <c r="K156" s="14" t="str">
        <f t="shared" si="8"/>
        <v>Anambra → Lagos</v>
      </c>
      <c r="L156" t="s">
        <v>41</v>
      </c>
      <c r="M156">
        <v>91</v>
      </c>
      <c r="N156">
        <v>90</v>
      </c>
      <c r="O156">
        <v>1</v>
      </c>
      <c r="P156">
        <v>67</v>
      </c>
      <c r="Q156" s="14" t="str">
        <f t="shared" si="9"/>
        <v>0–100 km</v>
      </c>
      <c r="R156" s="14" t="str">
        <f>IF(Table2[[#This Row],[Distance Bands]]="0–100 km","Short",
IF(Table2[[#This Row],[Distance Bands]]="101–250 km","Medium",
IF(Table2[[#This Row],[Distance Bands]]="251–500 km","Long",
IF(Table2[[#This Row],[Distance Bands]]="501–1,000 km","Very Long",
"Extreme"))))</f>
        <v>Short</v>
      </c>
      <c r="S156" s="13">
        <f>Table2[[#This Row],[Freight_Cost_NGN]]/Table2[[#This Row],[Distance_km]]</f>
        <v>11063.910447761195</v>
      </c>
      <c r="T156">
        <v>5</v>
      </c>
      <c r="U156">
        <v>5</v>
      </c>
      <c r="V156" s="14">
        <f>Table2[[#This Row],[Actual_Transit_Days]]-Table2[[#This Row],[Planned_Transit_Days]]</f>
        <v>0</v>
      </c>
      <c r="W156">
        <v>741282</v>
      </c>
      <c r="X156">
        <v>800900</v>
      </c>
      <c r="Y156" t="s">
        <v>42</v>
      </c>
      <c r="Z156" s="14">
        <f>IF(Table2[[#This Row],[Delivery_Date]]&lt;=Table2[[#This Row],[Planned_Date]],1,0)</f>
        <v>1</v>
      </c>
      <c r="AA156" s="18">
        <f>Table2[[#This Row],[Units_Damaged]]/Table2[[#This Row],[Units_Shipped]]</f>
        <v>1.098901098901099E-2</v>
      </c>
      <c r="AB156">
        <f t="shared" si="10"/>
        <v>-59618</v>
      </c>
      <c r="AC156" s="17">
        <f t="shared" si="11"/>
        <v>-7.4438756399051065E-2</v>
      </c>
    </row>
    <row r="157" spans="1:29" x14ac:dyDescent="0.25">
      <c r="A157" t="s">
        <v>229</v>
      </c>
      <c r="B157" s="1">
        <v>46273</v>
      </c>
      <c r="C157" s="1">
        <v>46098</v>
      </c>
      <c r="D157" t="s">
        <v>44</v>
      </c>
      <c r="E157" t="s">
        <v>103</v>
      </c>
      <c r="F157" t="s">
        <v>53</v>
      </c>
      <c r="G157" t="s">
        <v>88</v>
      </c>
      <c r="H157" t="s">
        <v>89</v>
      </c>
      <c r="I157" t="s">
        <v>38</v>
      </c>
      <c r="J157" t="s">
        <v>38</v>
      </c>
      <c r="K157" s="14" t="str">
        <f t="shared" si="8"/>
        <v>Edo → Kano</v>
      </c>
      <c r="L157" t="s">
        <v>32</v>
      </c>
      <c r="M157">
        <v>147</v>
      </c>
      <c r="N157">
        <v>142</v>
      </c>
      <c r="O157">
        <v>5</v>
      </c>
      <c r="P157">
        <v>235</v>
      </c>
      <c r="Q157" s="14" t="str">
        <f t="shared" si="9"/>
        <v>101–250 km</v>
      </c>
      <c r="R157" s="14" t="str">
        <f>IF(Table2[[#This Row],[Distance Bands]]="0–100 km","Short",
IF(Table2[[#This Row],[Distance Bands]]="101–250 km","Medium",
IF(Table2[[#This Row],[Distance Bands]]="251–500 km","Long",
IF(Table2[[#This Row],[Distance Bands]]="501–1,000 km","Very Long",
"Extreme"))))</f>
        <v>Medium</v>
      </c>
      <c r="S157" s="13">
        <f>Table2[[#This Row],[Freight_Cost_NGN]]/Table2[[#This Row],[Distance_km]]</f>
        <v>6438.5744680851067</v>
      </c>
      <c r="T157">
        <v>4</v>
      </c>
      <c r="U157">
        <v>14</v>
      </c>
      <c r="V157" s="14">
        <f>Table2[[#This Row],[Actual_Transit_Days]]-Table2[[#This Row],[Planned_Transit_Days]]</f>
        <v>10</v>
      </c>
      <c r="W157">
        <v>1513065</v>
      </c>
      <c r="X157">
        <v>1499399</v>
      </c>
      <c r="Y157" t="s">
        <v>75</v>
      </c>
      <c r="Z157" s="14">
        <f>IF(Table2[[#This Row],[Delivery_Date]]&lt;=Table2[[#This Row],[Planned_Date]],1,0)</f>
        <v>1</v>
      </c>
      <c r="AA157" s="18">
        <f>Table2[[#This Row],[Units_Damaged]]/Table2[[#This Row],[Units_Shipped]]</f>
        <v>3.4013605442176874E-2</v>
      </c>
      <c r="AB157">
        <f t="shared" si="10"/>
        <v>13666</v>
      </c>
      <c r="AC157" s="17">
        <f t="shared" si="11"/>
        <v>9.1143184702670871E-3</v>
      </c>
    </row>
    <row r="158" spans="1:29" x14ac:dyDescent="0.25">
      <c r="A158" t="s">
        <v>230</v>
      </c>
      <c r="B158" s="1">
        <v>46274</v>
      </c>
      <c r="C158" s="1">
        <v>46168</v>
      </c>
      <c r="D158" t="s">
        <v>26</v>
      </c>
      <c r="E158" t="s">
        <v>57</v>
      </c>
      <c r="F158" t="s">
        <v>28</v>
      </c>
      <c r="G158" t="s">
        <v>72</v>
      </c>
      <c r="H158" t="s">
        <v>72</v>
      </c>
      <c r="I158" t="s">
        <v>47</v>
      </c>
      <c r="J158" t="s">
        <v>48</v>
      </c>
      <c r="K158" s="14" t="str">
        <f t="shared" si="8"/>
        <v>Lagos → Cross River</v>
      </c>
      <c r="L158" t="s">
        <v>60</v>
      </c>
      <c r="M158">
        <v>53</v>
      </c>
      <c r="N158">
        <v>53</v>
      </c>
      <c r="O158">
        <v>0</v>
      </c>
      <c r="P158">
        <v>828</v>
      </c>
      <c r="Q158" s="14" t="str">
        <f t="shared" si="9"/>
        <v>501–1,000 km</v>
      </c>
      <c r="R158" s="14" t="str">
        <f>IF(Table2[[#This Row],[Distance Bands]]="0–100 km","Short",
IF(Table2[[#This Row],[Distance Bands]]="101–250 km","Medium",
IF(Table2[[#This Row],[Distance Bands]]="251–500 km","Long",
IF(Table2[[#This Row],[Distance Bands]]="501–1,000 km","Very Long",
"Extreme"))))</f>
        <v>Very Long</v>
      </c>
      <c r="S158" s="13">
        <f>Table2[[#This Row],[Freight_Cost_NGN]]/Table2[[#This Row],[Distance_km]]</f>
        <v>961.76690821256034</v>
      </c>
      <c r="T158">
        <v>5</v>
      </c>
      <c r="U158">
        <v>6</v>
      </c>
      <c r="V158" s="14">
        <f>Table2[[#This Row],[Actual_Transit_Days]]-Table2[[#This Row],[Planned_Transit_Days]]</f>
        <v>1</v>
      </c>
      <c r="W158">
        <v>796343</v>
      </c>
      <c r="X158">
        <v>743665</v>
      </c>
      <c r="Y158" t="s">
        <v>33</v>
      </c>
      <c r="Z158" s="14">
        <f>IF(Table2[[#This Row],[Delivery_Date]]&lt;=Table2[[#This Row],[Planned_Date]],1,0)</f>
        <v>1</v>
      </c>
      <c r="AA158" s="18">
        <f>Table2[[#This Row],[Units_Damaged]]/Table2[[#This Row],[Units_Shipped]]</f>
        <v>0</v>
      </c>
      <c r="AB158">
        <f t="shared" si="10"/>
        <v>52678</v>
      </c>
      <c r="AC158" s="17">
        <f t="shared" si="11"/>
        <v>7.0835658529041973E-2</v>
      </c>
    </row>
    <row r="159" spans="1:29" x14ac:dyDescent="0.25">
      <c r="A159" t="s">
        <v>231</v>
      </c>
      <c r="B159" s="1">
        <v>46275</v>
      </c>
      <c r="C159" s="1">
        <v>46200</v>
      </c>
      <c r="D159" t="s">
        <v>35</v>
      </c>
      <c r="E159" t="s">
        <v>85</v>
      </c>
      <c r="F159" t="s">
        <v>28</v>
      </c>
      <c r="G159" t="s">
        <v>49</v>
      </c>
      <c r="H159" t="s">
        <v>50</v>
      </c>
      <c r="I159" t="s">
        <v>88</v>
      </c>
      <c r="J159" t="s">
        <v>89</v>
      </c>
      <c r="K159" s="14" t="str">
        <f t="shared" si="8"/>
        <v>Niger → Edo</v>
      </c>
      <c r="L159" t="s">
        <v>41</v>
      </c>
      <c r="M159">
        <v>122</v>
      </c>
      <c r="N159">
        <v>119</v>
      </c>
      <c r="O159">
        <v>3</v>
      </c>
      <c r="P159">
        <v>805</v>
      </c>
      <c r="Q159" s="14" t="str">
        <f t="shared" si="9"/>
        <v>501–1,000 km</v>
      </c>
      <c r="R159" s="14" t="str">
        <f>IF(Table2[[#This Row],[Distance Bands]]="0–100 km","Short",
IF(Table2[[#This Row],[Distance Bands]]="101–250 km","Medium",
IF(Table2[[#This Row],[Distance Bands]]="251–500 km","Long",
IF(Table2[[#This Row],[Distance Bands]]="501–1,000 km","Very Long",
"Extreme"))))</f>
        <v>Very Long</v>
      </c>
      <c r="S159" s="13">
        <f>Table2[[#This Row],[Freight_Cost_NGN]]/Table2[[#This Row],[Distance_km]]</f>
        <v>2492.5726708074535</v>
      </c>
      <c r="T159">
        <v>3</v>
      </c>
      <c r="U159">
        <v>10</v>
      </c>
      <c r="V159" s="14">
        <f>Table2[[#This Row],[Actual_Transit_Days]]-Table2[[#This Row],[Planned_Transit_Days]]</f>
        <v>7</v>
      </c>
      <c r="W159">
        <v>2006521</v>
      </c>
      <c r="X159">
        <v>2146204</v>
      </c>
      <c r="Y159" t="s">
        <v>75</v>
      </c>
      <c r="Z159" s="14">
        <f>IF(Table2[[#This Row],[Delivery_Date]]&lt;=Table2[[#This Row],[Planned_Date]],1,0)</f>
        <v>1</v>
      </c>
      <c r="AA159" s="18">
        <f>Table2[[#This Row],[Units_Damaged]]/Table2[[#This Row],[Units_Shipped]]</f>
        <v>2.4590163934426229E-2</v>
      </c>
      <c r="AB159">
        <f t="shared" si="10"/>
        <v>-139683</v>
      </c>
      <c r="AC159" s="17">
        <f t="shared" si="11"/>
        <v>-6.5083747863669994E-2</v>
      </c>
    </row>
    <row r="160" spans="1:29" x14ac:dyDescent="0.25">
      <c r="A160" t="s">
        <v>232</v>
      </c>
      <c r="B160" s="1">
        <v>46276</v>
      </c>
      <c r="C160" s="1">
        <v>46183</v>
      </c>
      <c r="D160" t="s">
        <v>35</v>
      </c>
      <c r="E160" t="s">
        <v>85</v>
      </c>
      <c r="F160" t="s">
        <v>63</v>
      </c>
      <c r="G160" t="s">
        <v>29</v>
      </c>
      <c r="H160" t="s">
        <v>29</v>
      </c>
      <c r="I160" t="s">
        <v>64</v>
      </c>
      <c r="J160" t="s">
        <v>65</v>
      </c>
      <c r="K160" s="14" t="str">
        <f t="shared" si="8"/>
        <v>Kaduna → Plateau</v>
      </c>
      <c r="L160" t="s">
        <v>41</v>
      </c>
      <c r="M160">
        <v>118</v>
      </c>
      <c r="N160">
        <v>114</v>
      </c>
      <c r="O160">
        <v>4</v>
      </c>
      <c r="P160">
        <v>814</v>
      </c>
      <c r="Q160" s="14" t="str">
        <f t="shared" si="9"/>
        <v>501–1,000 km</v>
      </c>
      <c r="R160" s="14" t="str">
        <f>IF(Table2[[#This Row],[Distance Bands]]="0–100 km","Short",
IF(Table2[[#This Row],[Distance Bands]]="101–250 km","Medium",
IF(Table2[[#This Row],[Distance Bands]]="251–500 km","Long",
IF(Table2[[#This Row],[Distance Bands]]="501–1,000 km","Very Long",
"Extreme"))))</f>
        <v>Very Long</v>
      </c>
      <c r="S160" s="13">
        <f>Table2[[#This Row],[Freight_Cost_NGN]]/Table2[[#This Row],[Distance_km]]</f>
        <v>1371.0884520884522</v>
      </c>
      <c r="T160">
        <v>3</v>
      </c>
      <c r="U160">
        <v>4</v>
      </c>
      <c r="V160" s="14">
        <f>Table2[[#This Row],[Actual_Transit_Days]]-Table2[[#This Row],[Planned_Transit_Days]]</f>
        <v>1</v>
      </c>
      <c r="W160">
        <v>1116066</v>
      </c>
      <c r="X160">
        <v>1177668</v>
      </c>
      <c r="Y160" t="s">
        <v>33</v>
      </c>
      <c r="Z160" s="14">
        <f>IF(Table2[[#This Row],[Delivery_Date]]&lt;=Table2[[#This Row],[Planned_Date]],1,0)</f>
        <v>1</v>
      </c>
      <c r="AA160" s="18">
        <f>Table2[[#This Row],[Units_Damaged]]/Table2[[#This Row],[Units_Shipped]]</f>
        <v>3.3898305084745763E-2</v>
      </c>
      <c r="AB160">
        <f t="shared" si="10"/>
        <v>-61602</v>
      </c>
      <c r="AC160" s="17">
        <f t="shared" si="11"/>
        <v>-5.2308460448955055E-2</v>
      </c>
    </row>
    <row r="161" spans="1:29" x14ac:dyDescent="0.25">
      <c r="A161" t="s">
        <v>233</v>
      </c>
      <c r="B161" s="1">
        <v>46277</v>
      </c>
      <c r="C161" s="1">
        <v>46065</v>
      </c>
      <c r="D161" t="s">
        <v>77</v>
      </c>
      <c r="E161" t="s">
        <v>85</v>
      </c>
      <c r="F161" t="s">
        <v>37</v>
      </c>
      <c r="G161" t="s">
        <v>73</v>
      </c>
      <c r="H161" t="s">
        <v>74</v>
      </c>
      <c r="I161" t="s">
        <v>49</v>
      </c>
      <c r="J161" t="s">
        <v>50</v>
      </c>
      <c r="K161" s="14" t="str">
        <f t="shared" si="8"/>
        <v>Oyo → Niger</v>
      </c>
      <c r="L161" t="s">
        <v>32</v>
      </c>
      <c r="M161">
        <v>16</v>
      </c>
      <c r="N161">
        <v>15</v>
      </c>
      <c r="O161">
        <v>1</v>
      </c>
      <c r="P161">
        <v>257</v>
      </c>
      <c r="Q161" s="14" t="str">
        <f t="shared" si="9"/>
        <v>251–500 km</v>
      </c>
      <c r="R161" s="14" t="str">
        <f>IF(Table2[[#This Row],[Distance Bands]]="0–100 km","Short",
IF(Table2[[#This Row],[Distance Bands]]="101–250 km","Medium",
IF(Table2[[#This Row],[Distance Bands]]="251–500 km","Long",
IF(Table2[[#This Row],[Distance Bands]]="501–1,000 km","Very Long",
"Extreme"))))</f>
        <v>Long</v>
      </c>
      <c r="S161" s="13">
        <f>Table2[[#This Row],[Freight_Cost_NGN]]/Table2[[#This Row],[Distance_km]]</f>
        <v>1057.3463035019456</v>
      </c>
      <c r="T161">
        <v>3</v>
      </c>
      <c r="U161">
        <v>7</v>
      </c>
      <c r="V161" s="14">
        <f>Table2[[#This Row],[Actual_Transit_Days]]-Table2[[#This Row],[Planned_Transit_Days]]</f>
        <v>4</v>
      </c>
      <c r="W161">
        <v>271738</v>
      </c>
      <c r="X161">
        <v>291033</v>
      </c>
      <c r="Y161" t="s">
        <v>75</v>
      </c>
      <c r="Z161" s="14">
        <f>IF(Table2[[#This Row],[Delivery_Date]]&lt;=Table2[[#This Row],[Planned_Date]],1,0)</f>
        <v>1</v>
      </c>
      <c r="AA161" s="18">
        <f>Table2[[#This Row],[Units_Damaged]]/Table2[[#This Row],[Units_Shipped]]</f>
        <v>6.25E-2</v>
      </c>
      <c r="AB161">
        <f t="shared" si="10"/>
        <v>-19295</v>
      </c>
      <c r="AC161" s="17">
        <f t="shared" si="11"/>
        <v>-6.6298323557809596E-2</v>
      </c>
    </row>
    <row r="162" spans="1:29" x14ac:dyDescent="0.25">
      <c r="A162" t="s">
        <v>234</v>
      </c>
      <c r="B162" s="1">
        <v>46278</v>
      </c>
      <c r="C162" s="1">
        <v>46121</v>
      </c>
      <c r="D162" t="s">
        <v>57</v>
      </c>
      <c r="E162" t="s">
        <v>57</v>
      </c>
      <c r="F162" t="s">
        <v>53</v>
      </c>
      <c r="G162" t="s">
        <v>91</v>
      </c>
      <c r="H162" t="s">
        <v>92</v>
      </c>
      <c r="I162" t="s">
        <v>80</v>
      </c>
      <c r="J162" t="s">
        <v>80</v>
      </c>
      <c r="K162" s="14" t="str">
        <f t="shared" si="8"/>
        <v>Delta → Enugu</v>
      </c>
      <c r="L162" t="s">
        <v>41</v>
      </c>
      <c r="M162">
        <v>6</v>
      </c>
      <c r="N162">
        <v>6</v>
      </c>
      <c r="O162">
        <v>0</v>
      </c>
      <c r="P162">
        <v>565</v>
      </c>
      <c r="Q162" s="14" t="str">
        <f t="shared" si="9"/>
        <v>501–1,000 km</v>
      </c>
      <c r="R162" s="14" t="str">
        <f>IF(Table2[[#This Row],[Distance Bands]]="0–100 km","Short",
IF(Table2[[#This Row],[Distance Bands]]="101–250 km","Medium",
IF(Table2[[#This Row],[Distance Bands]]="251–500 km","Long",
IF(Table2[[#This Row],[Distance Bands]]="501–1,000 km","Very Long",
"Extreme"))))</f>
        <v>Very Long</v>
      </c>
      <c r="S162" s="13">
        <f>Table2[[#This Row],[Freight_Cost_NGN]]/Table2[[#This Row],[Distance_km]]</f>
        <v>681.19115044247792</v>
      </c>
      <c r="T162">
        <v>6</v>
      </c>
      <c r="U162">
        <v>6</v>
      </c>
      <c r="V162" s="14">
        <f>Table2[[#This Row],[Actual_Transit_Days]]-Table2[[#This Row],[Planned_Transit_Days]]</f>
        <v>0</v>
      </c>
      <c r="W162">
        <v>384873</v>
      </c>
      <c r="X162">
        <v>417031</v>
      </c>
      <c r="Y162" t="s">
        <v>42</v>
      </c>
      <c r="Z162" s="14">
        <f>IF(Table2[[#This Row],[Delivery_Date]]&lt;=Table2[[#This Row],[Planned_Date]],1,0)</f>
        <v>1</v>
      </c>
      <c r="AA162" s="18">
        <f>Table2[[#This Row],[Units_Damaged]]/Table2[[#This Row],[Units_Shipped]]</f>
        <v>0</v>
      </c>
      <c r="AB162">
        <f t="shared" si="10"/>
        <v>-32158</v>
      </c>
      <c r="AC162" s="17">
        <f t="shared" si="11"/>
        <v>-7.711177346528196E-2</v>
      </c>
    </row>
    <row r="163" spans="1:29" x14ac:dyDescent="0.25">
      <c r="A163" t="s">
        <v>235</v>
      </c>
      <c r="B163" s="1">
        <v>46279</v>
      </c>
      <c r="C163" s="1">
        <v>46204</v>
      </c>
      <c r="D163" t="s">
        <v>62</v>
      </c>
      <c r="E163" t="s">
        <v>57</v>
      </c>
      <c r="F163" t="s">
        <v>28</v>
      </c>
      <c r="G163" t="s">
        <v>68</v>
      </c>
      <c r="H163" t="s">
        <v>69</v>
      </c>
      <c r="I163" t="s">
        <v>91</v>
      </c>
      <c r="J163" t="s">
        <v>92</v>
      </c>
      <c r="K163" s="14" t="str">
        <f t="shared" si="8"/>
        <v>Abia → Delta</v>
      </c>
      <c r="L163" t="s">
        <v>32</v>
      </c>
      <c r="M163">
        <v>7</v>
      </c>
      <c r="N163">
        <v>7</v>
      </c>
      <c r="O163">
        <v>0</v>
      </c>
      <c r="P163">
        <v>727</v>
      </c>
      <c r="Q163" s="14" t="str">
        <f t="shared" si="9"/>
        <v>501–1,000 km</v>
      </c>
      <c r="R163" s="14" t="str">
        <f>IF(Table2[[#This Row],[Distance Bands]]="0–100 km","Short",
IF(Table2[[#This Row],[Distance Bands]]="101–250 km","Medium",
IF(Table2[[#This Row],[Distance Bands]]="251–500 km","Long",
IF(Table2[[#This Row],[Distance Bands]]="501–1,000 km","Very Long",
"Extreme"))))</f>
        <v>Very Long</v>
      </c>
      <c r="S163" s="13">
        <f>Table2[[#This Row],[Freight_Cost_NGN]]/Table2[[#This Row],[Distance_km]]</f>
        <v>227.24484181568087</v>
      </c>
      <c r="T163">
        <v>5</v>
      </c>
      <c r="U163">
        <v>7</v>
      </c>
      <c r="V163" s="14">
        <f>Table2[[#This Row],[Actual_Transit_Days]]-Table2[[#This Row],[Planned_Transit_Days]]</f>
        <v>2</v>
      </c>
      <c r="W163">
        <v>165207</v>
      </c>
      <c r="X163">
        <v>156998</v>
      </c>
      <c r="Y163" t="s">
        <v>33</v>
      </c>
      <c r="Z163" s="14">
        <f>IF(Table2[[#This Row],[Delivery_Date]]&lt;=Table2[[#This Row],[Planned_Date]],1,0)</f>
        <v>1</v>
      </c>
      <c r="AA163" s="18">
        <f>Table2[[#This Row],[Units_Damaged]]/Table2[[#This Row],[Units_Shipped]]</f>
        <v>0</v>
      </c>
      <c r="AB163">
        <f t="shared" si="10"/>
        <v>8209</v>
      </c>
      <c r="AC163" s="17">
        <f t="shared" si="11"/>
        <v>5.228729028395266E-2</v>
      </c>
    </row>
    <row r="164" spans="1:29" x14ac:dyDescent="0.25">
      <c r="A164" t="s">
        <v>236</v>
      </c>
      <c r="B164" s="1">
        <v>46280</v>
      </c>
      <c r="C164" s="1">
        <v>46164</v>
      </c>
      <c r="D164" t="s">
        <v>44</v>
      </c>
      <c r="E164" t="s">
        <v>27</v>
      </c>
      <c r="F164" t="s">
        <v>37</v>
      </c>
      <c r="G164" t="s">
        <v>49</v>
      </c>
      <c r="H164" t="s">
        <v>50</v>
      </c>
      <c r="I164" t="s">
        <v>38</v>
      </c>
      <c r="J164" t="s">
        <v>38</v>
      </c>
      <c r="K164" s="14" t="str">
        <f t="shared" si="8"/>
        <v>Niger → Kano</v>
      </c>
      <c r="L164" t="s">
        <v>41</v>
      </c>
      <c r="M164">
        <v>136</v>
      </c>
      <c r="N164">
        <v>135</v>
      </c>
      <c r="O164">
        <v>1</v>
      </c>
      <c r="P164">
        <v>128</v>
      </c>
      <c r="Q164" s="14" t="str">
        <f t="shared" si="9"/>
        <v>101–250 km</v>
      </c>
      <c r="R164" s="14" t="str">
        <f>IF(Table2[[#This Row],[Distance Bands]]="0–100 km","Short",
IF(Table2[[#This Row],[Distance Bands]]="101–250 km","Medium",
IF(Table2[[#This Row],[Distance Bands]]="251–500 km","Long",
IF(Table2[[#This Row],[Distance Bands]]="501–1,000 km","Very Long",
"Extreme"))))</f>
        <v>Medium</v>
      </c>
      <c r="S164" s="13">
        <f>Table2[[#This Row],[Freight_Cost_NGN]]/Table2[[#This Row],[Distance_km]]</f>
        <v>10927.1875</v>
      </c>
      <c r="T164">
        <v>5</v>
      </c>
      <c r="U164">
        <v>9</v>
      </c>
      <c r="V164" s="14">
        <f>Table2[[#This Row],[Actual_Transit_Days]]-Table2[[#This Row],[Planned_Transit_Days]]</f>
        <v>4</v>
      </c>
      <c r="W164">
        <v>1398680</v>
      </c>
      <c r="X164">
        <v>1510594</v>
      </c>
      <c r="Y164" t="s">
        <v>75</v>
      </c>
      <c r="Z164" s="14">
        <f>IF(Table2[[#This Row],[Delivery_Date]]&lt;=Table2[[#This Row],[Planned_Date]],1,0)</f>
        <v>1</v>
      </c>
      <c r="AA164" s="18">
        <f>Table2[[#This Row],[Units_Damaged]]/Table2[[#This Row],[Units_Shipped]]</f>
        <v>7.3529411764705881E-3</v>
      </c>
      <c r="AB164">
        <f t="shared" si="10"/>
        <v>-111914</v>
      </c>
      <c r="AC164" s="17">
        <f t="shared" si="11"/>
        <v>-7.4086087989228083E-2</v>
      </c>
    </row>
    <row r="165" spans="1:29" x14ac:dyDescent="0.25">
      <c r="A165" t="s">
        <v>237</v>
      </c>
      <c r="B165" s="1">
        <v>46281</v>
      </c>
      <c r="C165" s="1">
        <v>46199</v>
      </c>
      <c r="D165" t="s">
        <v>35</v>
      </c>
      <c r="E165" t="s">
        <v>45</v>
      </c>
      <c r="F165" t="s">
        <v>37</v>
      </c>
      <c r="G165" t="s">
        <v>80</v>
      </c>
      <c r="H165" t="s">
        <v>80</v>
      </c>
      <c r="I165" t="s">
        <v>58</v>
      </c>
      <c r="J165" t="s">
        <v>59</v>
      </c>
      <c r="K165" s="14" t="str">
        <f t="shared" si="8"/>
        <v>Enugu → Ogun</v>
      </c>
      <c r="L165" t="s">
        <v>60</v>
      </c>
      <c r="M165">
        <v>90</v>
      </c>
      <c r="N165">
        <v>89</v>
      </c>
      <c r="O165">
        <v>1</v>
      </c>
      <c r="P165">
        <v>258</v>
      </c>
      <c r="Q165" s="14" t="str">
        <f t="shared" si="9"/>
        <v>251–500 km</v>
      </c>
      <c r="R165" s="14" t="str">
        <f>IF(Table2[[#This Row],[Distance Bands]]="0–100 km","Short",
IF(Table2[[#This Row],[Distance Bands]]="101–250 km","Medium",
IF(Table2[[#This Row],[Distance Bands]]="251–500 km","Long",
IF(Table2[[#This Row],[Distance Bands]]="501–1,000 km","Very Long",
"Extreme"))))</f>
        <v>Long</v>
      </c>
      <c r="S165" s="13">
        <f>Table2[[#This Row],[Freight_Cost_NGN]]/Table2[[#This Row],[Distance_km]]</f>
        <v>2956.8372093023254</v>
      </c>
      <c r="T165">
        <v>3</v>
      </c>
      <c r="U165">
        <v>4</v>
      </c>
      <c r="V165" s="14">
        <f>Table2[[#This Row],[Actual_Transit_Days]]-Table2[[#This Row],[Planned_Transit_Days]]</f>
        <v>1</v>
      </c>
      <c r="W165">
        <v>762864</v>
      </c>
      <c r="X165">
        <v>707222</v>
      </c>
      <c r="Y165" t="s">
        <v>33</v>
      </c>
      <c r="Z165" s="14">
        <f>IF(Table2[[#This Row],[Delivery_Date]]&lt;=Table2[[#This Row],[Planned_Date]],1,0)</f>
        <v>1</v>
      </c>
      <c r="AA165" s="18">
        <f>Table2[[#This Row],[Units_Damaged]]/Table2[[#This Row],[Units_Shipped]]</f>
        <v>1.1111111111111112E-2</v>
      </c>
      <c r="AB165">
        <f t="shared" si="10"/>
        <v>55642</v>
      </c>
      <c r="AC165" s="17">
        <f t="shared" si="11"/>
        <v>7.8676851116056906E-2</v>
      </c>
    </row>
    <row r="166" spans="1:29" x14ac:dyDescent="0.25">
      <c r="A166" t="s">
        <v>238</v>
      </c>
      <c r="B166" s="1">
        <v>46282</v>
      </c>
      <c r="C166" s="1">
        <v>46112</v>
      </c>
      <c r="D166" t="s">
        <v>57</v>
      </c>
      <c r="E166" t="s">
        <v>67</v>
      </c>
      <c r="F166" t="s">
        <v>63</v>
      </c>
      <c r="G166" t="s">
        <v>73</v>
      </c>
      <c r="H166" t="s">
        <v>74</v>
      </c>
      <c r="I166" t="s">
        <v>47</v>
      </c>
      <c r="J166" t="s">
        <v>48</v>
      </c>
      <c r="K166" s="14" t="str">
        <f t="shared" si="8"/>
        <v>Oyo → Cross River</v>
      </c>
      <c r="L166" t="s">
        <v>32</v>
      </c>
      <c r="M166">
        <v>136</v>
      </c>
      <c r="N166">
        <v>132</v>
      </c>
      <c r="O166">
        <v>4</v>
      </c>
      <c r="P166">
        <v>647</v>
      </c>
      <c r="Q166" s="14" t="str">
        <f t="shared" si="9"/>
        <v>501–1,000 km</v>
      </c>
      <c r="R166" s="14" t="str">
        <f>IF(Table2[[#This Row],[Distance Bands]]="0–100 km","Short",
IF(Table2[[#This Row],[Distance Bands]]="101–250 km","Medium",
IF(Table2[[#This Row],[Distance Bands]]="251–500 km","Long",
IF(Table2[[#This Row],[Distance Bands]]="501–1,000 km","Very Long",
"Extreme"))))</f>
        <v>Very Long</v>
      </c>
      <c r="S166" s="13">
        <f>Table2[[#This Row],[Freight_Cost_NGN]]/Table2[[#This Row],[Distance_km]]</f>
        <v>3243.9922720247296</v>
      </c>
      <c r="T166">
        <v>6</v>
      </c>
      <c r="U166">
        <v>16</v>
      </c>
      <c r="V166" s="14">
        <f>Table2[[#This Row],[Actual_Transit_Days]]-Table2[[#This Row],[Planned_Transit_Days]]</f>
        <v>10</v>
      </c>
      <c r="W166">
        <v>2098863</v>
      </c>
      <c r="X166">
        <v>2234059</v>
      </c>
      <c r="Y166" t="s">
        <v>75</v>
      </c>
      <c r="Z166" s="14">
        <f>IF(Table2[[#This Row],[Delivery_Date]]&lt;=Table2[[#This Row],[Planned_Date]],1,0)</f>
        <v>1</v>
      </c>
      <c r="AA166" s="18">
        <f>Table2[[#This Row],[Units_Damaged]]/Table2[[#This Row],[Units_Shipped]]</f>
        <v>2.9411764705882353E-2</v>
      </c>
      <c r="AB166">
        <f t="shared" si="10"/>
        <v>-135196</v>
      </c>
      <c r="AC166" s="17">
        <f t="shared" si="11"/>
        <v>-6.0515859249912381E-2</v>
      </c>
    </row>
    <row r="167" spans="1:29" x14ac:dyDescent="0.25">
      <c r="A167" t="s">
        <v>239</v>
      </c>
      <c r="B167" s="1">
        <v>46283</v>
      </c>
      <c r="C167" s="1">
        <v>46085</v>
      </c>
      <c r="D167" t="s">
        <v>62</v>
      </c>
      <c r="E167" t="s">
        <v>85</v>
      </c>
      <c r="F167" t="s">
        <v>28</v>
      </c>
      <c r="G167" t="s">
        <v>91</v>
      </c>
      <c r="H167" t="s">
        <v>92</v>
      </c>
      <c r="I167" t="s">
        <v>88</v>
      </c>
      <c r="J167" t="s">
        <v>89</v>
      </c>
      <c r="K167" s="14" t="str">
        <f t="shared" si="8"/>
        <v>Delta → Edo</v>
      </c>
      <c r="L167" t="s">
        <v>41</v>
      </c>
      <c r="M167">
        <v>42</v>
      </c>
      <c r="N167">
        <v>42</v>
      </c>
      <c r="O167">
        <v>0</v>
      </c>
      <c r="P167">
        <v>796</v>
      </c>
      <c r="Q167" s="14" t="str">
        <f t="shared" si="9"/>
        <v>501–1,000 km</v>
      </c>
      <c r="R167" s="14" t="str">
        <f>IF(Table2[[#This Row],[Distance Bands]]="0–100 km","Short",
IF(Table2[[#This Row],[Distance Bands]]="101–250 km","Medium",
IF(Table2[[#This Row],[Distance Bands]]="251–500 km","Long",
IF(Table2[[#This Row],[Distance Bands]]="501–1,000 km","Very Long",
"Extreme"))))</f>
        <v>Very Long</v>
      </c>
      <c r="S167" s="13">
        <f>Table2[[#This Row],[Freight_Cost_NGN]]/Table2[[#This Row],[Distance_km]]</f>
        <v>872.4221105527638</v>
      </c>
      <c r="T167">
        <v>5</v>
      </c>
      <c r="U167">
        <v>5</v>
      </c>
      <c r="V167" s="14">
        <f>Table2[[#This Row],[Actual_Transit_Days]]-Table2[[#This Row],[Planned_Transit_Days]]</f>
        <v>0</v>
      </c>
      <c r="W167">
        <v>694448</v>
      </c>
      <c r="X167">
        <v>651807</v>
      </c>
      <c r="Y167" t="s">
        <v>42</v>
      </c>
      <c r="Z167" s="14">
        <f>IF(Table2[[#This Row],[Delivery_Date]]&lt;=Table2[[#This Row],[Planned_Date]],1,0)</f>
        <v>1</v>
      </c>
      <c r="AA167" s="18">
        <f>Table2[[#This Row],[Units_Damaged]]/Table2[[#This Row],[Units_Shipped]]</f>
        <v>0</v>
      </c>
      <c r="AB167">
        <f t="shared" si="10"/>
        <v>42641</v>
      </c>
      <c r="AC167" s="17">
        <f t="shared" si="11"/>
        <v>6.5419671774006719E-2</v>
      </c>
    </row>
    <row r="168" spans="1:29" x14ac:dyDescent="0.25">
      <c r="A168" t="s">
        <v>240</v>
      </c>
      <c r="B168" s="1">
        <v>46284</v>
      </c>
      <c r="C168" s="1">
        <v>46160</v>
      </c>
      <c r="D168" t="s">
        <v>77</v>
      </c>
      <c r="E168" t="s">
        <v>103</v>
      </c>
      <c r="F168" t="s">
        <v>28</v>
      </c>
      <c r="G168" t="s">
        <v>29</v>
      </c>
      <c r="H168" t="s">
        <v>29</v>
      </c>
      <c r="I168" t="s">
        <v>30</v>
      </c>
      <c r="J168" t="s">
        <v>31</v>
      </c>
      <c r="K168" s="14" t="str">
        <f t="shared" si="8"/>
        <v>Kaduna → Kwara</v>
      </c>
      <c r="L168" t="s">
        <v>32</v>
      </c>
      <c r="M168">
        <v>86</v>
      </c>
      <c r="N168">
        <v>81</v>
      </c>
      <c r="O168">
        <v>5</v>
      </c>
      <c r="P168">
        <v>183</v>
      </c>
      <c r="Q168" s="14" t="str">
        <f t="shared" si="9"/>
        <v>101–250 km</v>
      </c>
      <c r="R168" s="14" t="str">
        <f>IF(Table2[[#This Row],[Distance Bands]]="0–100 km","Short",
IF(Table2[[#This Row],[Distance Bands]]="101–250 km","Medium",
IF(Table2[[#This Row],[Distance Bands]]="251–500 km","Long",
IF(Table2[[#This Row],[Distance Bands]]="501–1,000 km","Very Long",
"Extreme"))))</f>
        <v>Medium</v>
      </c>
      <c r="S168" s="13">
        <f>Table2[[#This Row],[Freight_Cost_NGN]]/Table2[[#This Row],[Distance_km]]</f>
        <v>4222.8688524590161</v>
      </c>
      <c r="T168">
        <v>1</v>
      </c>
      <c r="U168">
        <v>2</v>
      </c>
      <c r="V168" s="14">
        <f>Table2[[#This Row],[Actual_Transit_Days]]-Table2[[#This Row],[Planned_Transit_Days]]</f>
        <v>1</v>
      </c>
      <c r="W168">
        <v>772785</v>
      </c>
      <c r="X168">
        <v>733991</v>
      </c>
      <c r="Y168" t="s">
        <v>33</v>
      </c>
      <c r="Z168" s="14">
        <f>IF(Table2[[#This Row],[Delivery_Date]]&lt;=Table2[[#This Row],[Planned_Date]],1,0)</f>
        <v>1</v>
      </c>
      <c r="AA168" s="18">
        <f>Table2[[#This Row],[Units_Damaged]]/Table2[[#This Row],[Units_Shipped]]</f>
        <v>5.8139534883720929E-2</v>
      </c>
      <c r="AB168">
        <f t="shared" si="10"/>
        <v>38794</v>
      </c>
      <c r="AC168" s="17">
        <f t="shared" si="11"/>
        <v>5.2853509102972651E-2</v>
      </c>
    </row>
    <row r="169" spans="1:29" x14ac:dyDescent="0.25">
      <c r="A169" t="s">
        <v>241</v>
      </c>
      <c r="B169" s="1">
        <v>46285</v>
      </c>
      <c r="C169" s="1">
        <v>46191</v>
      </c>
      <c r="D169" t="s">
        <v>57</v>
      </c>
      <c r="E169" t="s">
        <v>52</v>
      </c>
      <c r="F169" t="s">
        <v>53</v>
      </c>
      <c r="G169" t="s">
        <v>91</v>
      </c>
      <c r="H169" t="s">
        <v>92</v>
      </c>
      <c r="I169" t="s">
        <v>88</v>
      </c>
      <c r="J169" t="s">
        <v>89</v>
      </c>
      <c r="K169" s="14" t="str">
        <f t="shared" si="8"/>
        <v>Delta → Edo</v>
      </c>
      <c r="L169" t="s">
        <v>32</v>
      </c>
      <c r="M169">
        <v>98</v>
      </c>
      <c r="N169">
        <v>97</v>
      </c>
      <c r="O169">
        <v>1</v>
      </c>
      <c r="P169">
        <v>207</v>
      </c>
      <c r="Q169" s="14" t="str">
        <f t="shared" si="9"/>
        <v>101–250 km</v>
      </c>
      <c r="R169" s="14" t="str">
        <f>IF(Table2[[#This Row],[Distance Bands]]="0–100 km","Short",
IF(Table2[[#This Row],[Distance Bands]]="101–250 km","Medium",
IF(Table2[[#This Row],[Distance Bands]]="251–500 km","Long",
IF(Table2[[#This Row],[Distance Bands]]="501–1,000 km","Very Long",
"Extreme"))))</f>
        <v>Medium</v>
      </c>
      <c r="S169" s="13">
        <f>Table2[[#This Row],[Freight_Cost_NGN]]/Table2[[#This Row],[Distance_km]]</f>
        <v>5424.2125603864733</v>
      </c>
      <c r="T169">
        <v>5</v>
      </c>
      <c r="U169">
        <v>6</v>
      </c>
      <c r="V169" s="14">
        <f>Table2[[#This Row],[Actual_Transit_Days]]-Table2[[#This Row],[Planned_Transit_Days]]</f>
        <v>1</v>
      </c>
      <c r="W169">
        <v>1122812</v>
      </c>
      <c r="X169">
        <v>1085951</v>
      </c>
      <c r="Y169" t="s">
        <v>33</v>
      </c>
      <c r="Z169" s="14">
        <f>IF(Table2[[#This Row],[Delivery_Date]]&lt;=Table2[[#This Row],[Planned_Date]],1,0)</f>
        <v>1</v>
      </c>
      <c r="AA169" s="18">
        <f>Table2[[#This Row],[Units_Damaged]]/Table2[[#This Row],[Units_Shipped]]</f>
        <v>1.020408163265306E-2</v>
      </c>
      <c r="AB169">
        <f t="shared" si="10"/>
        <v>36861</v>
      </c>
      <c r="AC169" s="17">
        <f t="shared" si="11"/>
        <v>3.3943520471918162E-2</v>
      </c>
    </row>
    <row r="170" spans="1:29" x14ac:dyDescent="0.25">
      <c r="A170" t="s">
        <v>242</v>
      </c>
      <c r="B170" s="1">
        <v>46286</v>
      </c>
      <c r="C170" s="1">
        <v>46191</v>
      </c>
      <c r="D170" t="s">
        <v>35</v>
      </c>
      <c r="E170" t="s">
        <v>67</v>
      </c>
      <c r="F170" t="s">
        <v>63</v>
      </c>
      <c r="G170" t="s">
        <v>91</v>
      </c>
      <c r="H170" t="s">
        <v>92</v>
      </c>
      <c r="I170" t="s">
        <v>68</v>
      </c>
      <c r="J170" t="s">
        <v>69</v>
      </c>
      <c r="K170" s="14" t="str">
        <f t="shared" si="8"/>
        <v>Delta → Abia</v>
      </c>
      <c r="L170" t="s">
        <v>41</v>
      </c>
      <c r="M170">
        <v>51</v>
      </c>
      <c r="N170">
        <v>50</v>
      </c>
      <c r="O170">
        <v>1</v>
      </c>
      <c r="P170">
        <v>423</v>
      </c>
      <c r="Q170" s="14" t="str">
        <f t="shared" si="9"/>
        <v>251–500 km</v>
      </c>
      <c r="R170" s="14" t="str">
        <f>IF(Table2[[#This Row],[Distance Bands]]="0–100 km","Short",
IF(Table2[[#This Row],[Distance Bands]]="101–250 km","Medium",
IF(Table2[[#This Row],[Distance Bands]]="251–500 km","Long",
IF(Table2[[#This Row],[Distance Bands]]="501–1,000 km","Very Long",
"Extreme"))))</f>
        <v>Long</v>
      </c>
      <c r="S170" s="13">
        <f>Table2[[#This Row],[Freight_Cost_NGN]]/Table2[[#This Row],[Distance_km]]</f>
        <v>947.49645390070918</v>
      </c>
      <c r="T170">
        <v>3</v>
      </c>
      <c r="U170">
        <v>4</v>
      </c>
      <c r="V170" s="14">
        <f>Table2[[#This Row],[Actual_Transit_Days]]-Table2[[#This Row],[Planned_Transit_Days]]</f>
        <v>1</v>
      </c>
      <c r="W170">
        <v>400791</v>
      </c>
      <c r="X170">
        <v>436044</v>
      </c>
      <c r="Y170" t="s">
        <v>33</v>
      </c>
      <c r="Z170" s="14">
        <f>IF(Table2[[#This Row],[Delivery_Date]]&lt;=Table2[[#This Row],[Planned_Date]],1,0)</f>
        <v>1</v>
      </c>
      <c r="AA170" s="18">
        <f>Table2[[#This Row],[Units_Damaged]]/Table2[[#This Row],[Units_Shipped]]</f>
        <v>1.9607843137254902E-2</v>
      </c>
      <c r="AB170">
        <f t="shared" si="10"/>
        <v>-35253</v>
      </c>
      <c r="AC170" s="17">
        <f t="shared" si="11"/>
        <v>-8.0847345680711127E-2</v>
      </c>
    </row>
    <row r="171" spans="1:29" x14ac:dyDescent="0.25">
      <c r="A171" t="s">
        <v>243</v>
      </c>
      <c r="B171" s="1">
        <v>46287</v>
      </c>
      <c r="C171" s="1">
        <v>46094</v>
      </c>
      <c r="D171" t="s">
        <v>44</v>
      </c>
      <c r="E171" t="s">
        <v>36</v>
      </c>
      <c r="F171" t="s">
        <v>28</v>
      </c>
      <c r="G171" t="s">
        <v>64</v>
      </c>
      <c r="H171" t="s">
        <v>65</v>
      </c>
      <c r="I171" t="s">
        <v>30</v>
      </c>
      <c r="J171" t="s">
        <v>31</v>
      </c>
      <c r="K171" s="14" t="str">
        <f t="shared" si="8"/>
        <v>Plateau → Kwara</v>
      </c>
      <c r="L171" t="s">
        <v>60</v>
      </c>
      <c r="M171">
        <v>111</v>
      </c>
      <c r="N171">
        <v>111</v>
      </c>
      <c r="O171">
        <v>0</v>
      </c>
      <c r="P171">
        <v>649</v>
      </c>
      <c r="Q171" s="14" t="str">
        <f t="shared" si="9"/>
        <v>501–1,000 km</v>
      </c>
      <c r="R171" s="14" t="str">
        <f>IF(Table2[[#This Row],[Distance Bands]]="0–100 km","Short",
IF(Table2[[#This Row],[Distance Bands]]="101–250 km","Medium",
IF(Table2[[#This Row],[Distance Bands]]="251–500 km","Long",
IF(Table2[[#This Row],[Distance Bands]]="501–1,000 km","Very Long",
"Extreme"))))</f>
        <v>Very Long</v>
      </c>
      <c r="S171" s="13">
        <f>Table2[[#This Row],[Freight_Cost_NGN]]/Table2[[#This Row],[Distance_km]]</f>
        <v>2130.7395993836672</v>
      </c>
      <c r="T171">
        <v>7</v>
      </c>
      <c r="U171">
        <v>7</v>
      </c>
      <c r="V171" s="14">
        <f>Table2[[#This Row],[Actual_Transit_Days]]-Table2[[#This Row],[Planned_Transit_Days]]</f>
        <v>0</v>
      </c>
      <c r="W171">
        <v>1382850</v>
      </c>
      <c r="X171">
        <v>1347745</v>
      </c>
      <c r="Y171" t="s">
        <v>42</v>
      </c>
      <c r="Z171" s="14">
        <f>IF(Table2[[#This Row],[Delivery_Date]]&lt;=Table2[[#This Row],[Planned_Date]],1,0)</f>
        <v>1</v>
      </c>
      <c r="AA171" s="18">
        <f>Table2[[#This Row],[Units_Damaged]]/Table2[[#This Row],[Units_Shipped]]</f>
        <v>0</v>
      </c>
      <c r="AB171">
        <f t="shared" si="10"/>
        <v>35105</v>
      </c>
      <c r="AC171" s="17">
        <f t="shared" si="11"/>
        <v>2.6047212195185292E-2</v>
      </c>
    </row>
    <row r="172" spans="1:29" x14ac:dyDescent="0.25">
      <c r="A172" t="s">
        <v>244</v>
      </c>
      <c r="B172" s="1">
        <v>46288</v>
      </c>
      <c r="C172" s="1">
        <v>46124</v>
      </c>
      <c r="D172" t="s">
        <v>26</v>
      </c>
      <c r="E172" t="s">
        <v>57</v>
      </c>
      <c r="F172" t="s">
        <v>28</v>
      </c>
      <c r="G172" t="s">
        <v>73</v>
      </c>
      <c r="H172" t="s">
        <v>74</v>
      </c>
      <c r="I172" t="s">
        <v>88</v>
      </c>
      <c r="J172" t="s">
        <v>89</v>
      </c>
      <c r="K172" s="14" t="str">
        <f t="shared" si="8"/>
        <v>Oyo → Edo</v>
      </c>
      <c r="L172" t="s">
        <v>41</v>
      </c>
      <c r="M172">
        <v>153</v>
      </c>
      <c r="N172">
        <v>150</v>
      </c>
      <c r="O172">
        <v>3</v>
      </c>
      <c r="P172">
        <v>98</v>
      </c>
      <c r="Q172" s="14" t="str">
        <f t="shared" si="9"/>
        <v>0–100 km</v>
      </c>
      <c r="R172" s="14" t="str">
        <f>IF(Table2[[#This Row],[Distance Bands]]="0–100 km","Short",
IF(Table2[[#This Row],[Distance Bands]]="101–250 km","Medium",
IF(Table2[[#This Row],[Distance Bands]]="251–500 km","Long",
IF(Table2[[#This Row],[Distance Bands]]="501–1,000 km","Very Long",
"Extreme"))))</f>
        <v>Short</v>
      </c>
      <c r="S172" s="13">
        <f>Table2[[#This Row],[Freight_Cost_NGN]]/Table2[[#This Row],[Distance_km]]</f>
        <v>21322.602040816328</v>
      </c>
      <c r="T172">
        <v>4</v>
      </c>
      <c r="U172">
        <v>5</v>
      </c>
      <c r="V172" s="14">
        <f>Table2[[#This Row],[Actual_Transit_Days]]-Table2[[#This Row],[Planned_Transit_Days]]</f>
        <v>1</v>
      </c>
      <c r="W172">
        <v>2089615</v>
      </c>
      <c r="X172">
        <v>2217507</v>
      </c>
      <c r="Y172" t="s">
        <v>33</v>
      </c>
      <c r="Z172" s="14">
        <f>IF(Table2[[#This Row],[Delivery_Date]]&lt;=Table2[[#This Row],[Planned_Date]],1,0)</f>
        <v>1</v>
      </c>
      <c r="AA172" s="18">
        <f>Table2[[#This Row],[Units_Damaged]]/Table2[[#This Row],[Units_Shipped]]</f>
        <v>1.9607843137254902E-2</v>
      </c>
      <c r="AB172">
        <f t="shared" si="10"/>
        <v>-127892</v>
      </c>
      <c r="AC172" s="17">
        <f t="shared" si="11"/>
        <v>-5.767377509969529E-2</v>
      </c>
    </row>
    <row r="173" spans="1:29" x14ac:dyDescent="0.25">
      <c r="A173" t="s">
        <v>245</v>
      </c>
      <c r="B173" s="1">
        <v>46289</v>
      </c>
      <c r="C173" s="1">
        <v>46058</v>
      </c>
      <c r="D173" t="s">
        <v>77</v>
      </c>
      <c r="E173" t="s">
        <v>67</v>
      </c>
      <c r="F173" t="s">
        <v>53</v>
      </c>
      <c r="G173" t="s">
        <v>73</v>
      </c>
      <c r="H173" t="s">
        <v>74</v>
      </c>
      <c r="I173" t="s">
        <v>72</v>
      </c>
      <c r="J173" t="s">
        <v>72</v>
      </c>
      <c r="K173" s="14" t="str">
        <f t="shared" si="8"/>
        <v>Oyo → Lagos</v>
      </c>
      <c r="L173" t="s">
        <v>41</v>
      </c>
      <c r="M173">
        <v>64</v>
      </c>
      <c r="N173">
        <v>63</v>
      </c>
      <c r="O173">
        <v>1</v>
      </c>
      <c r="P173">
        <v>388</v>
      </c>
      <c r="Q173" s="14" t="str">
        <f t="shared" si="9"/>
        <v>251–500 km</v>
      </c>
      <c r="R173" s="14" t="str">
        <f>IF(Table2[[#This Row],[Distance Bands]]="0–100 km","Short",
IF(Table2[[#This Row],[Distance Bands]]="101–250 km","Medium",
IF(Table2[[#This Row],[Distance Bands]]="251–500 km","Long",
IF(Table2[[#This Row],[Distance Bands]]="501–1,000 km","Very Long",
"Extreme"))))</f>
        <v>Long</v>
      </c>
      <c r="S173" s="13">
        <f>Table2[[#This Row],[Freight_Cost_NGN]]/Table2[[#This Row],[Distance_km]]</f>
        <v>1654.7422680412371</v>
      </c>
      <c r="T173">
        <v>5</v>
      </c>
      <c r="U173">
        <v>8</v>
      </c>
      <c r="V173" s="14">
        <f>Table2[[#This Row],[Actual_Transit_Days]]-Table2[[#This Row],[Planned_Transit_Days]]</f>
        <v>3</v>
      </c>
      <c r="W173">
        <v>642040</v>
      </c>
      <c r="X173">
        <v>687159</v>
      </c>
      <c r="Y173" t="s">
        <v>33</v>
      </c>
      <c r="Z173" s="14">
        <f>IF(Table2[[#This Row],[Delivery_Date]]&lt;=Table2[[#This Row],[Planned_Date]],1,0)</f>
        <v>1</v>
      </c>
      <c r="AA173" s="18">
        <f>Table2[[#This Row],[Units_Damaged]]/Table2[[#This Row],[Units_Shipped]]</f>
        <v>1.5625E-2</v>
      </c>
      <c r="AB173">
        <f t="shared" si="10"/>
        <v>-45119</v>
      </c>
      <c r="AC173" s="17">
        <f t="shared" si="11"/>
        <v>-6.5660203824733435E-2</v>
      </c>
    </row>
    <row r="174" spans="1:29" x14ac:dyDescent="0.25">
      <c r="A174" t="s">
        <v>246</v>
      </c>
      <c r="B174" s="1">
        <v>46290</v>
      </c>
      <c r="C174" s="1">
        <v>46215</v>
      </c>
      <c r="D174" t="s">
        <v>35</v>
      </c>
      <c r="E174" t="s">
        <v>27</v>
      </c>
      <c r="F174" t="s">
        <v>53</v>
      </c>
      <c r="G174" t="s">
        <v>29</v>
      </c>
      <c r="H174" t="s">
        <v>29</v>
      </c>
      <c r="I174" t="s">
        <v>73</v>
      </c>
      <c r="J174" t="s">
        <v>74</v>
      </c>
      <c r="K174" s="14" t="str">
        <f t="shared" si="8"/>
        <v>Kaduna → Oyo</v>
      </c>
      <c r="L174" t="s">
        <v>41</v>
      </c>
      <c r="M174">
        <v>84</v>
      </c>
      <c r="N174">
        <v>82</v>
      </c>
      <c r="O174">
        <v>2</v>
      </c>
      <c r="P174">
        <v>424</v>
      </c>
      <c r="Q174" s="14" t="str">
        <f t="shared" si="9"/>
        <v>251–500 km</v>
      </c>
      <c r="R174" s="14" t="str">
        <f>IF(Table2[[#This Row],[Distance Bands]]="0–100 km","Short",
IF(Table2[[#This Row],[Distance Bands]]="101–250 km","Medium",
IF(Table2[[#This Row],[Distance Bands]]="251–500 km","Long",
IF(Table2[[#This Row],[Distance Bands]]="501–1,000 km","Very Long",
"Extreme"))))</f>
        <v>Long</v>
      </c>
      <c r="S174" s="13">
        <f>Table2[[#This Row],[Freight_Cost_NGN]]/Table2[[#This Row],[Distance_km]]</f>
        <v>1545.5094339622642</v>
      </c>
      <c r="T174">
        <v>6</v>
      </c>
      <c r="U174">
        <v>6</v>
      </c>
      <c r="V174" s="14">
        <f>Table2[[#This Row],[Actual_Transit_Days]]-Table2[[#This Row],[Planned_Transit_Days]]</f>
        <v>0</v>
      </c>
      <c r="W174">
        <v>655296</v>
      </c>
      <c r="X174">
        <v>713589</v>
      </c>
      <c r="Y174" t="s">
        <v>42</v>
      </c>
      <c r="Z174" s="14">
        <f>IF(Table2[[#This Row],[Delivery_Date]]&lt;=Table2[[#This Row],[Planned_Date]],1,0)</f>
        <v>1</v>
      </c>
      <c r="AA174" s="18">
        <f>Table2[[#This Row],[Units_Damaged]]/Table2[[#This Row],[Units_Shipped]]</f>
        <v>2.3809523809523808E-2</v>
      </c>
      <c r="AB174">
        <f t="shared" si="10"/>
        <v>-58293</v>
      </c>
      <c r="AC174" s="17">
        <f t="shared" si="11"/>
        <v>-8.1689880309253643E-2</v>
      </c>
    </row>
    <row r="175" spans="1:29" x14ac:dyDescent="0.25">
      <c r="A175" t="s">
        <v>247</v>
      </c>
      <c r="B175" s="1">
        <v>46291</v>
      </c>
      <c r="C175" s="1">
        <v>46115</v>
      </c>
      <c r="D175" t="s">
        <v>57</v>
      </c>
      <c r="E175" t="s">
        <v>45</v>
      </c>
      <c r="F175" t="s">
        <v>63</v>
      </c>
      <c r="G175" t="s">
        <v>38</v>
      </c>
      <c r="H175" t="s">
        <v>38</v>
      </c>
      <c r="I175" t="s">
        <v>80</v>
      </c>
      <c r="J175" t="s">
        <v>80</v>
      </c>
      <c r="K175" s="14" t="str">
        <f t="shared" si="8"/>
        <v>Kano → Enugu</v>
      </c>
      <c r="L175" t="s">
        <v>32</v>
      </c>
      <c r="M175">
        <v>25</v>
      </c>
      <c r="N175">
        <v>25</v>
      </c>
      <c r="O175">
        <v>0</v>
      </c>
      <c r="P175">
        <v>220</v>
      </c>
      <c r="Q175" s="14" t="str">
        <f t="shared" si="9"/>
        <v>101–250 km</v>
      </c>
      <c r="R175" s="14" t="str">
        <f>IF(Table2[[#This Row],[Distance Bands]]="0–100 km","Short",
IF(Table2[[#This Row],[Distance Bands]]="101–250 km","Medium",
IF(Table2[[#This Row],[Distance Bands]]="251–500 km","Long",
IF(Table2[[#This Row],[Distance Bands]]="501–1,000 km","Very Long",
"Extreme"))))</f>
        <v>Medium</v>
      </c>
      <c r="S175" s="13">
        <f>Table2[[#This Row],[Freight_Cost_NGN]]/Table2[[#This Row],[Distance_km]]</f>
        <v>1155.659090909091</v>
      </c>
      <c r="T175">
        <v>4</v>
      </c>
      <c r="U175">
        <v>5</v>
      </c>
      <c r="V175" s="14">
        <f>Table2[[#This Row],[Actual_Transit_Days]]-Table2[[#This Row],[Planned_Transit_Days]]</f>
        <v>1</v>
      </c>
      <c r="W175">
        <v>254245</v>
      </c>
      <c r="X175">
        <v>273153</v>
      </c>
      <c r="Y175" t="s">
        <v>33</v>
      </c>
      <c r="Z175" s="14">
        <f>IF(Table2[[#This Row],[Delivery_Date]]&lt;=Table2[[#This Row],[Planned_Date]],1,0)</f>
        <v>1</v>
      </c>
      <c r="AA175" s="18">
        <f>Table2[[#This Row],[Units_Damaged]]/Table2[[#This Row],[Units_Shipped]]</f>
        <v>0</v>
      </c>
      <c r="AB175">
        <f t="shared" si="10"/>
        <v>-18908</v>
      </c>
      <c r="AC175" s="17">
        <f t="shared" si="11"/>
        <v>-6.922127891694399E-2</v>
      </c>
    </row>
    <row r="176" spans="1:29" x14ac:dyDescent="0.25">
      <c r="A176" t="s">
        <v>248</v>
      </c>
      <c r="B176" s="1">
        <v>46292</v>
      </c>
      <c r="C176" s="1">
        <v>46151</v>
      </c>
      <c r="D176" t="s">
        <v>57</v>
      </c>
      <c r="E176" t="s">
        <v>52</v>
      </c>
      <c r="F176" t="s">
        <v>63</v>
      </c>
      <c r="G176" t="s">
        <v>49</v>
      </c>
      <c r="H176" t="s">
        <v>50</v>
      </c>
      <c r="I176" t="s">
        <v>39</v>
      </c>
      <c r="J176" t="s">
        <v>40</v>
      </c>
      <c r="K176" s="14" t="str">
        <f t="shared" si="8"/>
        <v>Niger → Anambra</v>
      </c>
      <c r="L176" t="s">
        <v>41</v>
      </c>
      <c r="M176">
        <v>62</v>
      </c>
      <c r="N176">
        <v>61</v>
      </c>
      <c r="O176">
        <v>1</v>
      </c>
      <c r="P176">
        <v>45</v>
      </c>
      <c r="Q176" s="14" t="str">
        <f t="shared" si="9"/>
        <v>0–100 km</v>
      </c>
      <c r="R176" s="14" t="str">
        <f>IF(Table2[[#This Row],[Distance Bands]]="0–100 km","Short",
IF(Table2[[#This Row],[Distance Bands]]="101–250 km","Medium",
IF(Table2[[#This Row],[Distance Bands]]="251–500 km","Long",
IF(Table2[[#This Row],[Distance Bands]]="501–1,000 km","Very Long",
"Extreme"))))</f>
        <v>Short</v>
      </c>
      <c r="S176" s="13">
        <f>Table2[[#This Row],[Freight_Cost_NGN]]/Table2[[#This Row],[Distance_km]]</f>
        <v>11623.444444444445</v>
      </c>
      <c r="T176">
        <v>3</v>
      </c>
      <c r="U176">
        <v>5</v>
      </c>
      <c r="V176" s="14">
        <f>Table2[[#This Row],[Actual_Transit_Days]]-Table2[[#This Row],[Planned_Transit_Days]]</f>
        <v>2</v>
      </c>
      <c r="W176">
        <v>523055</v>
      </c>
      <c r="X176">
        <v>501211</v>
      </c>
      <c r="Y176" t="s">
        <v>33</v>
      </c>
      <c r="Z176" s="14">
        <f>IF(Table2[[#This Row],[Delivery_Date]]&lt;=Table2[[#This Row],[Planned_Date]],1,0)</f>
        <v>1</v>
      </c>
      <c r="AA176" s="18">
        <f>Table2[[#This Row],[Units_Damaged]]/Table2[[#This Row],[Units_Shipped]]</f>
        <v>1.6129032258064516E-2</v>
      </c>
      <c r="AB176">
        <f t="shared" si="10"/>
        <v>21844</v>
      </c>
      <c r="AC176" s="17">
        <f t="shared" si="11"/>
        <v>4.3582443322273456E-2</v>
      </c>
    </row>
    <row r="177" spans="1:29" x14ac:dyDescent="0.25">
      <c r="A177" t="s">
        <v>249</v>
      </c>
      <c r="B177" s="1">
        <v>46293</v>
      </c>
      <c r="C177" s="1">
        <v>46217</v>
      </c>
      <c r="D177" t="s">
        <v>35</v>
      </c>
      <c r="E177" t="s">
        <v>67</v>
      </c>
      <c r="F177" t="s">
        <v>28</v>
      </c>
      <c r="G177" t="s">
        <v>39</v>
      </c>
      <c r="H177" t="s">
        <v>40</v>
      </c>
      <c r="I177" t="s">
        <v>64</v>
      </c>
      <c r="J177" t="s">
        <v>65</v>
      </c>
      <c r="K177" s="14" t="str">
        <f t="shared" si="8"/>
        <v>Anambra → Plateau</v>
      </c>
      <c r="L177" t="s">
        <v>32</v>
      </c>
      <c r="M177">
        <v>131</v>
      </c>
      <c r="N177">
        <v>129</v>
      </c>
      <c r="O177">
        <v>2</v>
      </c>
      <c r="P177">
        <v>514</v>
      </c>
      <c r="Q177" s="14" t="str">
        <f t="shared" si="9"/>
        <v>501–1,000 km</v>
      </c>
      <c r="R177" s="14" t="str">
        <f>IF(Table2[[#This Row],[Distance Bands]]="0–100 km","Short",
IF(Table2[[#This Row],[Distance Bands]]="101–250 km","Medium",
IF(Table2[[#This Row],[Distance Bands]]="251–500 km","Long",
IF(Table2[[#This Row],[Distance Bands]]="501–1,000 km","Very Long",
"Extreme"))))</f>
        <v>Very Long</v>
      </c>
      <c r="S177" s="13">
        <f>Table2[[#This Row],[Freight_Cost_NGN]]/Table2[[#This Row],[Distance_km]]</f>
        <v>1737.0408560311284</v>
      </c>
      <c r="T177">
        <v>2</v>
      </c>
      <c r="U177">
        <v>2</v>
      </c>
      <c r="V177" s="14">
        <f>Table2[[#This Row],[Actual_Transit_Days]]-Table2[[#This Row],[Planned_Transit_Days]]</f>
        <v>0</v>
      </c>
      <c r="W177">
        <v>892839</v>
      </c>
      <c r="X177">
        <v>914872</v>
      </c>
      <c r="Y177" t="s">
        <v>42</v>
      </c>
      <c r="Z177" s="14">
        <f>IF(Table2[[#This Row],[Delivery_Date]]&lt;=Table2[[#This Row],[Planned_Date]],1,0)</f>
        <v>1</v>
      </c>
      <c r="AA177" s="18">
        <f>Table2[[#This Row],[Units_Damaged]]/Table2[[#This Row],[Units_Shipped]]</f>
        <v>1.5267175572519083E-2</v>
      </c>
      <c r="AB177">
        <f t="shared" si="10"/>
        <v>-22033</v>
      </c>
      <c r="AC177" s="17">
        <f t="shared" si="11"/>
        <v>-2.4083150429786898E-2</v>
      </c>
    </row>
    <row r="178" spans="1:29" x14ac:dyDescent="0.25">
      <c r="A178" t="s">
        <v>250</v>
      </c>
      <c r="B178" s="1">
        <v>46294</v>
      </c>
      <c r="C178" s="1">
        <v>46115</v>
      </c>
      <c r="D178" t="s">
        <v>26</v>
      </c>
      <c r="E178" t="s">
        <v>45</v>
      </c>
      <c r="F178" t="s">
        <v>53</v>
      </c>
      <c r="G178" t="s">
        <v>72</v>
      </c>
      <c r="H178" t="s">
        <v>72</v>
      </c>
      <c r="I178" t="s">
        <v>49</v>
      </c>
      <c r="J178" t="s">
        <v>50</v>
      </c>
      <c r="K178" s="14" t="str">
        <f t="shared" si="8"/>
        <v>Lagos → Niger</v>
      </c>
      <c r="L178" t="s">
        <v>41</v>
      </c>
      <c r="M178">
        <v>61</v>
      </c>
      <c r="N178">
        <v>60</v>
      </c>
      <c r="O178">
        <v>1</v>
      </c>
      <c r="P178">
        <v>90</v>
      </c>
      <c r="Q178" s="14" t="str">
        <f t="shared" si="9"/>
        <v>0–100 km</v>
      </c>
      <c r="R178" s="14" t="str">
        <f>IF(Table2[[#This Row],[Distance Bands]]="0–100 km","Short",
IF(Table2[[#This Row],[Distance Bands]]="101–250 km","Medium",
IF(Table2[[#This Row],[Distance Bands]]="251–500 km","Long",
IF(Table2[[#This Row],[Distance Bands]]="501–1,000 km","Very Long",
"Extreme"))))</f>
        <v>Short</v>
      </c>
      <c r="S178" s="13">
        <f>Table2[[#This Row],[Freight_Cost_NGN]]/Table2[[#This Row],[Distance_km]]</f>
        <v>8031.2777777777774</v>
      </c>
      <c r="T178">
        <v>2</v>
      </c>
      <c r="U178">
        <v>4</v>
      </c>
      <c r="V178" s="14">
        <f>Table2[[#This Row],[Actual_Transit_Days]]-Table2[[#This Row],[Planned_Transit_Days]]</f>
        <v>2</v>
      </c>
      <c r="W178">
        <v>722815</v>
      </c>
      <c r="X178">
        <v>789601</v>
      </c>
      <c r="Y178" t="s">
        <v>33</v>
      </c>
      <c r="Z178" s="14">
        <f>IF(Table2[[#This Row],[Delivery_Date]]&lt;=Table2[[#This Row],[Planned_Date]],1,0)</f>
        <v>1</v>
      </c>
      <c r="AA178" s="18">
        <f>Table2[[#This Row],[Units_Damaged]]/Table2[[#This Row],[Units_Shipped]]</f>
        <v>1.6393442622950821E-2</v>
      </c>
      <c r="AB178">
        <f t="shared" si="10"/>
        <v>-66786</v>
      </c>
      <c r="AC178" s="17">
        <f t="shared" si="11"/>
        <v>-8.45819597492911E-2</v>
      </c>
    </row>
    <row r="179" spans="1:29" x14ac:dyDescent="0.25">
      <c r="A179" t="s">
        <v>251</v>
      </c>
      <c r="B179" s="1">
        <v>46295</v>
      </c>
      <c r="C179" s="1">
        <v>46129</v>
      </c>
      <c r="D179" t="s">
        <v>62</v>
      </c>
      <c r="E179" t="s">
        <v>57</v>
      </c>
      <c r="F179" t="s">
        <v>53</v>
      </c>
      <c r="G179" t="s">
        <v>80</v>
      </c>
      <c r="H179" t="s">
        <v>80</v>
      </c>
      <c r="I179" t="s">
        <v>49</v>
      </c>
      <c r="J179" t="s">
        <v>50</v>
      </c>
      <c r="K179" s="14" t="str">
        <f t="shared" si="8"/>
        <v>Enugu → Niger</v>
      </c>
      <c r="L179" t="s">
        <v>41</v>
      </c>
      <c r="M179">
        <v>36</v>
      </c>
      <c r="N179">
        <v>35</v>
      </c>
      <c r="O179">
        <v>1</v>
      </c>
      <c r="P179">
        <v>415</v>
      </c>
      <c r="Q179" s="14" t="str">
        <f t="shared" si="9"/>
        <v>251–500 km</v>
      </c>
      <c r="R179" s="14" t="str">
        <f>IF(Table2[[#This Row],[Distance Bands]]="0–100 km","Short",
IF(Table2[[#This Row],[Distance Bands]]="101–250 km","Medium",
IF(Table2[[#This Row],[Distance Bands]]="251–500 km","Long",
IF(Table2[[#This Row],[Distance Bands]]="501–1,000 km","Very Long",
"Extreme"))))</f>
        <v>Long</v>
      </c>
      <c r="S179" s="13">
        <f>Table2[[#This Row],[Freight_Cost_NGN]]/Table2[[#This Row],[Distance_km]]</f>
        <v>760.96144578313249</v>
      </c>
      <c r="T179">
        <v>1</v>
      </c>
      <c r="U179">
        <v>4</v>
      </c>
      <c r="V179" s="14">
        <f>Table2[[#This Row],[Actual_Transit_Days]]-Table2[[#This Row],[Planned_Transit_Days]]</f>
        <v>3</v>
      </c>
      <c r="W179">
        <v>315799</v>
      </c>
      <c r="X179">
        <v>324947</v>
      </c>
      <c r="Y179" t="s">
        <v>33</v>
      </c>
      <c r="Z179" s="14">
        <f>IF(Table2[[#This Row],[Delivery_Date]]&lt;=Table2[[#This Row],[Planned_Date]],1,0)</f>
        <v>1</v>
      </c>
      <c r="AA179" s="18">
        <f>Table2[[#This Row],[Units_Damaged]]/Table2[[#This Row],[Units_Shipped]]</f>
        <v>2.7777777777777776E-2</v>
      </c>
      <c r="AB179">
        <f t="shared" si="10"/>
        <v>-9148</v>
      </c>
      <c r="AC179" s="17">
        <f t="shared" si="11"/>
        <v>-2.8152283295429716E-2</v>
      </c>
    </row>
    <row r="180" spans="1:29" x14ac:dyDescent="0.25">
      <c r="A180" t="s">
        <v>252</v>
      </c>
      <c r="B180" s="1">
        <v>46296</v>
      </c>
      <c r="C180" s="1">
        <v>46189</v>
      </c>
      <c r="D180" t="s">
        <v>57</v>
      </c>
      <c r="E180" t="s">
        <v>85</v>
      </c>
      <c r="F180" t="s">
        <v>53</v>
      </c>
      <c r="G180" t="s">
        <v>39</v>
      </c>
      <c r="H180" t="s">
        <v>40</v>
      </c>
      <c r="I180" t="s">
        <v>54</v>
      </c>
      <c r="J180" t="s">
        <v>55</v>
      </c>
      <c r="K180" s="14" t="str">
        <f t="shared" si="8"/>
        <v>Anambra → Rivers</v>
      </c>
      <c r="L180" t="s">
        <v>41</v>
      </c>
      <c r="M180">
        <v>32</v>
      </c>
      <c r="N180">
        <v>31</v>
      </c>
      <c r="O180">
        <v>1</v>
      </c>
      <c r="P180">
        <v>50</v>
      </c>
      <c r="Q180" s="14" t="str">
        <f t="shared" si="9"/>
        <v>0–100 km</v>
      </c>
      <c r="R180" s="14" t="str">
        <f>IF(Table2[[#This Row],[Distance Bands]]="0–100 km","Short",
IF(Table2[[#This Row],[Distance Bands]]="101–250 km","Medium",
IF(Table2[[#This Row],[Distance Bands]]="251–500 km","Long",
IF(Table2[[#This Row],[Distance Bands]]="501–1,000 km","Very Long",
"Extreme"))))</f>
        <v>Short</v>
      </c>
      <c r="S180" s="13">
        <f>Table2[[#This Row],[Freight_Cost_NGN]]/Table2[[#This Row],[Distance_km]]</f>
        <v>6660.64</v>
      </c>
      <c r="T180">
        <v>7</v>
      </c>
      <c r="U180">
        <v>8</v>
      </c>
      <c r="V180" s="14">
        <f>Table2[[#This Row],[Actual_Transit_Days]]-Table2[[#This Row],[Planned_Transit_Days]]</f>
        <v>1</v>
      </c>
      <c r="W180">
        <v>333032</v>
      </c>
      <c r="X180">
        <v>343190</v>
      </c>
      <c r="Y180" t="s">
        <v>33</v>
      </c>
      <c r="Z180" s="14">
        <f>IF(Table2[[#This Row],[Delivery_Date]]&lt;=Table2[[#This Row],[Planned_Date]],1,0)</f>
        <v>1</v>
      </c>
      <c r="AA180" s="18">
        <f>Table2[[#This Row],[Units_Damaged]]/Table2[[#This Row],[Units_Shipped]]</f>
        <v>3.125E-2</v>
      </c>
      <c r="AB180">
        <f t="shared" si="10"/>
        <v>-10158</v>
      </c>
      <c r="AC180" s="17">
        <f t="shared" si="11"/>
        <v>-2.9598764532766105E-2</v>
      </c>
    </row>
    <row r="181" spans="1:29" x14ac:dyDescent="0.25">
      <c r="A181" t="s">
        <v>253</v>
      </c>
      <c r="B181" s="1">
        <v>46297</v>
      </c>
      <c r="C181" s="1">
        <v>46257</v>
      </c>
      <c r="D181" t="s">
        <v>77</v>
      </c>
      <c r="E181" t="s">
        <v>45</v>
      </c>
      <c r="F181" t="s">
        <v>46</v>
      </c>
      <c r="G181" t="s">
        <v>72</v>
      </c>
      <c r="H181" t="s">
        <v>72</v>
      </c>
      <c r="I181" t="s">
        <v>49</v>
      </c>
      <c r="J181" t="s">
        <v>50</v>
      </c>
      <c r="K181" s="14" t="str">
        <f t="shared" si="8"/>
        <v>Lagos → Niger</v>
      </c>
      <c r="L181" t="s">
        <v>41</v>
      </c>
      <c r="M181">
        <v>93</v>
      </c>
      <c r="N181">
        <v>92</v>
      </c>
      <c r="O181">
        <v>1</v>
      </c>
      <c r="P181">
        <v>403</v>
      </c>
      <c r="Q181" s="14" t="str">
        <f t="shared" si="9"/>
        <v>251–500 km</v>
      </c>
      <c r="R181" s="14" t="str">
        <f>IF(Table2[[#This Row],[Distance Bands]]="0–100 km","Short",
IF(Table2[[#This Row],[Distance Bands]]="101–250 km","Medium",
IF(Table2[[#This Row],[Distance Bands]]="251–500 km","Long",
IF(Table2[[#This Row],[Distance Bands]]="501–1,000 km","Very Long",
"Extreme"))))</f>
        <v>Long</v>
      </c>
      <c r="S181" s="13">
        <f>Table2[[#This Row],[Freight_Cost_NGN]]/Table2[[#This Row],[Distance_km]]</f>
        <v>2870.3076923076924</v>
      </c>
      <c r="T181">
        <v>2</v>
      </c>
      <c r="U181">
        <v>4</v>
      </c>
      <c r="V181" s="14">
        <f>Table2[[#This Row],[Actual_Transit_Days]]-Table2[[#This Row],[Planned_Transit_Days]]</f>
        <v>2</v>
      </c>
      <c r="W181">
        <v>1156734</v>
      </c>
      <c r="X181">
        <v>1166235</v>
      </c>
      <c r="Y181" t="s">
        <v>33</v>
      </c>
      <c r="Z181" s="14">
        <f>IF(Table2[[#This Row],[Delivery_Date]]&lt;=Table2[[#This Row],[Planned_Date]],1,0)</f>
        <v>1</v>
      </c>
      <c r="AA181" s="18">
        <f>Table2[[#This Row],[Units_Damaged]]/Table2[[#This Row],[Units_Shipped]]</f>
        <v>1.0752688172043012E-2</v>
      </c>
      <c r="AB181">
        <f t="shared" si="10"/>
        <v>-9501</v>
      </c>
      <c r="AC181" s="17">
        <f t="shared" si="11"/>
        <v>-8.1467285752871415E-3</v>
      </c>
    </row>
    <row r="182" spans="1:29" x14ac:dyDescent="0.25">
      <c r="A182" t="s">
        <v>254</v>
      </c>
      <c r="B182" s="1">
        <v>46298</v>
      </c>
      <c r="C182" s="1">
        <v>46115</v>
      </c>
      <c r="D182" t="s">
        <v>77</v>
      </c>
      <c r="E182" t="s">
        <v>67</v>
      </c>
      <c r="F182" t="s">
        <v>37</v>
      </c>
      <c r="G182" t="s">
        <v>30</v>
      </c>
      <c r="H182" t="s">
        <v>31</v>
      </c>
      <c r="I182" t="s">
        <v>88</v>
      </c>
      <c r="J182" t="s">
        <v>89</v>
      </c>
      <c r="K182" s="14" t="str">
        <f t="shared" si="8"/>
        <v>Kwara → Edo</v>
      </c>
      <c r="L182" t="s">
        <v>32</v>
      </c>
      <c r="M182">
        <v>147</v>
      </c>
      <c r="N182">
        <v>145</v>
      </c>
      <c r="O182">
        <v>2</v>
      </c>
      <c r="P182">
        <v>262</v>
      </c>
      <c r="Q182" s="14" t="str">
        <f t="shared" si="9"/>
        <v>251–500 km</v>
      </c>
      <c r="R182" s="14" t="str">
        <f>IF(Table2[[#This Row],[Distance Bands]]="0–100 km","Short",
IF(Table2[[#This Row],[Distance Bands]]="101–250 km","Medium",
IF(Table2[[#This Row],[Distance Bands]]="251–500 km","Long",
IF(Table2[[#This Row],[Distance Bands]]="501–1,000 km","Very Long",
"Extreme"))))</f>
        <v>Long</v>
      </c>
      <c r="S182" s="13">
        <f>Table2[[#This Row],[Freight_Cost_NGN]]/Table2[[#This Row],[Distance_km]]</f>
        <v>5814.2709923664124</v>
      </c>
      <c r="T182">
        <v>3</v>
      </c>
      <c r="U182">
        <v>4</v>
      </c>
      <c r="V182" s="14">
        <f>Table2[[#This Row],[Actual_Transit_Days]]-Table2[[#This Row],[Planned_Transit_Days]]</f>
        <v>1</v>
      </c>
      <c r="W182">
        <v>1523339</v>
      </c>
      <c r="X182">
        <v>1449595</v>
      </c>
      <c r="Y182" t="s">
        <v>33</v>
      </c>
      <c r="Z182" s="14">
        <f>IF(Table2[[#This Row],[Delivery_Date]]&lt;=Table2[[#This Row],[Planned_Date]],1,0)</f>
        <v>1</v>
      </c>
      <c r="AA182" s="18">
        <f>Table2[[#This Row],[Units_Damaged]]/Table2[[#This Row],[Units_Shipped]]</f>
        <v>1.3605442176870748E-2</v>
      </c>
      <c r="AB182">
        <f t="shared" si="10"/>
        <v>73744</v>
      </c>
      <c r="AC182" s="17">
        <f t="shared" si="11"/>
        <v>5.0872140149490028E-2</v>
      </c>
    </row>
    <row r="183" spans="1:29" x14ac:dyDescent="0.25">
      <c r="A183" t="s">
        <v>255</v>
      </c>
      <c r="B183" s="1">
        <v>46299</v>
      </c>
      <c r="C183" s="1">
        <v>46066</v>
      </c>
      <c r="D183" t="s">
        <v>26</v>
      </c>
      <c r="E183" t="s">
        <v>36</v>
      </c>
      <c r="F183" t="s">
        <v>46</v>
      </c>
      <c r="G183" t="s">
        <v>68</v>
      </c>
      <c r="H183" t="s">
        <v>69</v>
      </c>
      <c r="I183" t="s">
        <v>73</v>
      </c>
      <c r="J183" t="s">
        <v>74</v>
      </c>
      <c r="K183" s="14" t="str">
        <f t="shared" si="8"/>
        <v>Abia → Oyo</v>
      </c>
      <c r="L183" t="s">
        <v>41</v>
      </c>
      <c r="M183">
        <v>133</v>
      </c>
      <c r="N183">
        <v>131</v>
      </c>
      <c r="O183">
        <v>2</v>
      </c>
      <c r="P183">
        <v>544</v>
      </c>
      <c r="Q183" s="14" t="str">
        <f t="shared" si="9"/>
        <v>501–1,000 km</v>
      </c>
      <c r="R183" s="14" t="str">
        <f>IF(Table2[[#This Row],[Distance Bands]]="0–100 km","Short",
IF(Table2[[#This Row],[Distance Bands]]="101–250 km","Medium",
IF(Table2[[#This Row],[Distance Bands]]="251–500 km","Long",
IF(Table2[[#This Row],[Distance Bands]]="501–1,000 km","Very Long",
"Extreme"))))</f>
        <v>Very Long</v>
      </c>
      <c r="S183" s="13">
        <f>Table2[[#This Row],[Freight_Cost_NGN]]/Table2[[#This Row],[Distance_km]]</f>
        <v>1814.8088235294117</v>
      </c>
      <c r="T183">
        <v>3</v>
      </c>
      <c r="U183">
        <v>13</v>
      </c>
      <c r="V183" s="14">
        <f>Table2[[#This Row],[Actual_Transit_Days]]-Table2[[#This Row],[Planned_Transit_Days]]</f>
        <v>10</v>
      </c>
      <c r="W183">
        <v>987256</v>
      </c>
      <c r="X183">
        <v>1037466</v>
      </c>
      <c r="Y183" t="s">
        <v>75</v>
      </c>
      <c r="Z183" s="14">
        <f>IF(Table2[[#This Row],[Delivery_Date]]&lt;=Table2[[#This Row],[Planned_Date]],1,0)</f>
        <v>1</v>
      </c>
      <c r="AA183" s="18">
        <f>Table2[[#This Row],[Units_Damaged]]/Table2[[#This Row],[Units_Shipped]]</f>
        <v>1.5037593984962405E-2</v>
      </c>
      <c r="AB183">
        <f t="shared" si="10"/>
        <v>-50210</v>
      </c>
      <c r="AC183" s="17">
        <f t="shared" si="11"/>
        <v>-4.8396766737415976E-2</v>
      </c>
    </row>
    <row r="184" spans="1:29" x14ac:dyDescent="0.25">
      <c r="A184" t="s">
        <v>256</v>
      </c>
      <c r="B184" s="1">
        <v>46300</v>
      </c>
      <c r="C184" s="1">
        <v>46085</v>
      </c>
      <c r="D184" t="s">
        <v>44</v>
      </c>
      <c r="E184" t="s">
        <v>57</v>
      </c>
      <c r="F184" t="s">
        <v>37</v>
      </c>
      <c r="G184" t="s">
        <v>39</v>
      </c>
      <c r="H184" t="s">
        <v>40</v>
      </c>
      <c r="I184" t="s">
        <v>80</v>
      </c>
      <c r="J184" t="s">
        <v>80</v>
      </c>
      <c r="K184" s="14" t="str">
        <f t="shared" si="8"/>
        <v>Anambra → Enugu</v>
      </c>
      <c r="L184" t="s">
        <v>60</v>
      </c>
      <c r="M184">
        <v>113</v>
      </c>
      <c r="N184">
        <v>113</v>
      </c>
      <c r="O184">
        <v>0</v>
      </c>
      <c r="P184">
        <v>557</v>
      </c>
      <c r="Q184" s="14" t="str">
        <f t="shared" si="9"/>
        <v>501–1,000 km</v>
      </c>
      <c r="R184" s="14" t="str">
        <f>IF(Table2[[#This Row],[Distance Bands]]="0–100 km","Short",
IF(Table2[[#This Row],[Distance Bands]]="101–250 km","Medium",
IF(Table2[[#This Row],[Distance Bands]]="251–500 km","Long",
IF(Table2[[#This Row],[Distance Bands]]="501–1,000 km","Very Long",
"Extreme"))))</f>
        <v>Very Long</v>
      </c>
      <c r="S184" s="13">
        <f>Table2[[#This Row],[Freight_Cost_NGN]]/Table2[[#This Row],[Distance_km]]</f>
        <v>1466.6481149012568</v>
      </c>
      <c r="T184">
        <v>3</v>
      </c>
      <c r="U184">
        <v>13</v>
      </c>
      <c r="V184" s="14">
        <f>Table2[[#This Row],[Actual_Transit_Days]]-Table2[[#This Row],[Planned_Transit_Days]]</f>
        <v>10</v>
      </c>
      <c r="W184">
        <v>816923</v>
      </c>
      <c r="X184">
        <v>804344</v>
      </c>
      <c r="Y184" t="s">
        <v>75</v>
      </c>
      <c r="Z184" s="14">
        <f>IF(Table2[[#This Row],[Delivery_Date]]&lt;=Table2[[#This Row],[Planned_Date]],1,0)</f>
        <v>1</v>
      </c>
      <c r="AA184" s="18">
        <f>Table2[[#This Row],[Units_Damaged]]/Table2[[#This Row],[Units_Shipped]]</f>
        <v>0</v>
      </c>
      <c r="AB184">
        <f t="shared" si="10"/>
        <v>12579</v>
      </c>
      <c r="AC184" s="17">
        <f t="shared" si="11"/>
        <v>1.5638831146872482E-2</v>
      </c>
    </row>
    <row r="185" spans="1:29" x14ac:dyDescent="0.25">
      <c r="A185" t="s">
        <v>257</v>
      </c>
      <c r="B185" s="1">
        <v>46301</v>
      </c>
      <c r="C185" s="1">
        <v>46100</v>
      </c>
      <c r="D185" t="s">
        <v>57</v>
      </c>
      <c r="E185" t="s">
        <v>45</v>
      </c>
      <c r="F185" t="s">
        <v>53</v>
      </c>
      <c r="G185" t="s">
        <v>29</v>
      </c>
      <c r="H185" t="s">
        <v>29</v>
      </c>
      <c r="I185" t="s">
        <v>80</v>
      </c>
      <c r="J185" t="s">
        <v>80</v>
      </c>
      <c r="K185" s="14" t="str">
        <f t="shared" si="8"/>
        <v>Kaduna → Enugu</v>
      </c>
      <c r="L185" t="s">
        <v>41</v>
      </c>
      <c r="M185">
        <v>29</v>
      </c>
      <c r="N185">
        <v>28</v>
      </c>
      <c r="O185">
        <v>1</v>
      </c>
      <c r="P185">
        <v>690</v>
      </c>
      <c r="Q185" s="14" t="str">
        <f t="shared" si="9"/>
        <v>501–1,000 km</v>
      </c>
      <c r="R185" s="14" t="str">
        <f>IF(Table2[[#This Row],[Distance Bands]]="0–100 km","Short",
IF(Table2[[#This Row],[Distance Bands]]="101–250 km","Medium",
IF(Table2[[#This Row],[Distance Bands]]="251–500 km","Long",
IF(Table2[[#This Row],[Distance Bands]]="501–1,000 km","Very Long",
"Extreme"))))</f>
        <v>Very Long</v>
      </c>
      <c r="S185" s="13">
        <f>Table2[[#This Row],[Freight_Cost_NGN]]/Table2[[#This Row],[Distance_km]]</f>
        <v>850.42318840579708</v>
      </c>
      <c r="T185">
        <v>4</v>
      </c>
      <c r="U185">
        <v>5</v>
      </c>
      <c r="V185" s="14">
        <f>Table2[[#This Row],[Actual_Transit_Days]]-Table2[[#This Row],[Planned_Transit_Days]]</f>
        <v>1</v>
      </c>
      <c r="W185">
        <v>586792</v>
      </c>
      <c r="X185">
        <v>561843</v>
      </c>
      <c r="Y185" t="s">
        <v>33</v>
      </c>
      <c r="Z185" s="14">
        <f>IF(Table2[[#This Row],[Delivery_Date]]&lt;=Table2[[#This Row],[Planned_Date]],1,0)</f>
        <v>1</v>
      </c>
      <c r="AA185" s="18">
        <f>Table2[[#This Row],[Units_Damaged]]/Table2[[#This Row],[Units_Shipped]]</f>
        <v>3.4482758620689655E-2</v>
      </c>
      <c r="AB185">
        <f t="shared" si="10"/>
        <v>24949</v>
      </c>
      <c r="AC185" s="17">
        <f t="shared" si="11"/>
        <v>4.4405643569466913E-2</v>
      </c>
    </row>
    <row r="186" spans="1:29" x14ac:dyDescent="0.25">
      <c r="A186" t="s">
        <v>258</v>
      </c>
      <c r="B186" s="1">
        <v>46302</v>
      </c>
      <c r="C186" s="1">
        <v>46225</v>
      </c>
      <c r="D186" t="s">
        <v>35</v>
      </c>
      <c r="E186" t="s">
        <v>27</v>
      </c>
      <c r="F186" t="s">
        <v>37</v>
      </c>
      <c r="G186" t="s">
        <v>64</v>
      </c>
      <c r="H186" t="s">
        <v>65</v>
      </c>
      <c r="I186" t="s">
        <v>80</v>
      </c>
      <c r="J186" t="s">
        <v>80</v>
      </c>
      <c r="K186" s="14" t="str">
        <f t="shared" si="8"/>
        <v>Plateau → Enugu</v>
      </c>
      <c r="L186" t="s">
        <v>41</v>
      </c>
      <c r="M186">
        <v>135</v>
      </c>
      <c r="N186">
        <v>132</v>
      </c>
      <c r="O186">
        <v>3</v>
      </c>
      <c r="P186">
        <v>612</v>
      </c>
      <c r="Q186" s="14" t="str">
        <f t="shared" si="9"/>
        <v>501–1,000 km</v>
      </c>
      <c r="R186" s="14" t="str">
        <f>IF(Table2[[#This Row],[Distance Bands]]="0–100 km","Short",
IF(Table2[[#This Row],[Distance Bands]]="101–250 km","Medium",
IF(Table2[[#This Row],[Distance Bands]]="251–500 km","Long",
IF(Table2[[#This Row],[Distance Bands]]="501–1,000 km","Very Long",
"Extreme"))))</f>
        <v>Very Long</v>
      </c>
      <c r="S186" s="13">
        <f>Table2[[#This Row],[Freight_Cost_NGN]]/Table2[[#This Row],[Distance_km]]</f>
        <v>3442.9852941176468</v>
      </c>
      <c r="T186">
        <v>5</v>
      </c>
      <c r="U186">
        <v>5</v>
      </c>
      <c r="V186" s="14">
        <f>Table2[[#This Row],[Actual_Transit_Days]]-Table2[[#This Row],[Planned_Transit_Days]]</f>
        <v>0</v>
      </c>
      <c r="W186">
        <v>2107107</v>
      </c>
      <c r="X186">
        <v>1986135</v>
      </c>
      <c r="Y186" t="s">
        <v>42</v>
      </c>
      <c r="Z186" s="14">
        <f>IF(Table2[[#This Row],[Delivery_Date]]&lt;=Table2[[#This Row],[Planned_Date]],1,0)</f>
        <v>1</v>
      </c>
      <c r="AA186" s="18">
        <f>Table2[[#This Row],[Units_Damaged]]/Table2[[#This Row],[Units_Shipped]]</f>
        <v>2.2222222222222223E-2</v>
      </c>
      <c r="AB186">
        <f t="shared" si="10"/>
        <v>120972</v>
      </c>
      <c r="AC186" s="17">
        <f t="shared" si="11"/>
        <v>6.0908246418294829E-2</v>
      </c>
    </row>
    <row r="187" spans="1:29" x14ac:dyDescent="0.25">
      <c r="A187" t="s">
        <v>259</v>
      </c>
      <c r="B187" s="1">
        <v>46303</v>
      </c>
      <c r="C187" s="1">
        <v>46072</v>
      </c>
      <c r="D187" t="s">
        <v>35</v>
      </c>
      <c r="E187" t="s">
        <v>45</v>
      </c>
      <c r="F187" t="s">
        <v>63</v>
      </c>
      <c r="G187" t="s">
        <v>30</v>
      </c>
      <c r="H187" t="s">
        <v>31</v>
      </c>
      <c r="I187" t="s">
        <v>58</v>
      </c>
      <c r="J187" t="s">
        <v>59</v>
      </c>
      <c r="K187" s="14" t="str">
        <f t="shared" si="8"/>
        <v>Kwara → Ogun</v>
      </c>
      <c r="L187" t="s">
        <v>41</v>
      </c>
      <c r="M187">
        <v>79</v>
      </c>
      <c r="N187">
        <v>77</v>
      </c>
      <c r="O187">
        <v>2</v>
      </c>
      <c r="P187">
        <v>303</v>
      </c>
      <c r="Q187" s="14" t="str">
        <f t="shared" si="9"/>
        <v>251–500 km</v>
      </c>
      <c r="R187" s="14" t="str">
        <f>IF(Table2[[#This Row],[Distance Bands]]="0–100 km","Short",
IF(Table2[[#This Row],[Distance Bands]]="101–250 km","Medium",
IF(Table2[[#This Row],[Distance Bands]]="251–500 km","Long",
IF(Table2[[#This Row],[Distance Bands]]="501–1,000 km","Very Long",
"Extreme"))))</f>
        <v>Long</v>
      </c>
      <c r="S187" s="13">
        <f>Table2[[#This Row],[Freight_Cost_NGN]]/Table2[[#This Row],[Distance_km]]</f>
        <v>3841.4851485148515</v>
      </c>
      <c r="T187">
        <v>5</v>
      </c>
      <c r="U187">
        <v>5</v>
      </c>
      <c r="V187" s="14">
        <f>Table2[[#This Row],[Actual_Transit_Days]]-Table2[[#This Row],[Planned_Transit_Days]]</f>
        <v>0</v>
      </c>
      <c r="W187">
        <v>1163970</v>
      </c>
      <c r="X187">
        <v>1242670</v>
      </c>
      <c r="Y187" t="s">
        <v>42</v>
      </c>
      <c r="Z187" s="14">
        <f>IF(Table2[[#This Row],[Delivery_Date]]&lt;=Table2[[#This Row],[Planned_Date]],1,0)</f>
        <v>1</v>
      </c>
      <c r="AA187" s="18">
        <f>Table2[[#This Row],[Units_Damaged]]/Table2[[#This Row],[Units_Shipped]]</f>
        <v>2.5316455696202531E-2</v>
      </c>
      <c r="AB187">
        <f t="shared" si="10"/>
        <v>-78700</v>
      </c>
      <c r="AC187" s="17">
        <f t="shared" si="11"/>
        <v>-6.3331375184079441E-2</v>
      </c>
    </row>
    <row r="188" spans="1:29" x14ac:dyDescent="0.25">
      <c r="A188" t="s">
        <v>260</v>
      </c>
      <c r="B188" s="1">
        <v>46304</v>
      </c>
      <c r="C188" s="1">
        <v>46197</v>
      </c>
      <c r="D188" t="s">
        <v>77</v>
      </c>
      <c r="E188" t="s">
        <v>67</v>
      </c>
      <c r="F188" t="s">
        <v>46</v>
      </c>
      <c r="G188" t="s">
        <v>58</v>
      </c>
      <c r="H188" t="s">
        <v>59</v>
      </c>
      <c r="I188" t="s">
        <v>73</v>
      </c>
      <c r="J188" t="s">
        <v>74</v>
      </c>
      <c r="K188" s="14" t="str">
        <f t="shared" si="8"/>
        <v>Ogun → Oyo</v>
      </c>
      <c r="L188" t="s">
        <v>41</v>
      </c>
      <c r="M188">
        <v>152</v>
      </c>
      <c r="N188">
        <v>149</v>
      </c>
      <c r="O188">
        <v>3</v>
      </c>
      <c r="P188">
        <v>148</v>
      </c>
      <c r="Q188" s="14" t="str">
        <f t="shared" si="9"/>
        <v>101–250 km</v>
      </c>
      <c r="R188" s="14" t="str">
        <f>IF(Table2[[#This Row],[Distance Bands]]="0–100 km","Short",
IF(Table2[[#This Row],[Distance Bands]]="101–250 km","Medium",
IF(Table2[[#This Row],[Distance Bands]]="251–500 km","Long",
IF(Table2[[#This Row],[Distance Bands]]="501–1,000 km","Very Long",
"Extreme"))))</f>
        <v>Medium</v>
      </c>
      <c r="S188" s="13">
        <f>Table2[[#This Row],[Freight_Cost_NGN]]/Table2[[#This Row],[Distance_km]]</f>
        <v>11327.675675675675</v>
      </c>
      <c r="T188">
        <v>1</v>
      </c>
      <c r="U188">
        <v>3</v>
      </c>
      <c r="V188" s="14">
        <f>Table2[[#This Row],[Actual_Transit_Days]]-Table2[[#This Row],[Planned_Transit_Days]]</f>
        <v>2</v>
      </c>
      <c r="W188">
        <v>1676496</v>
      </c>
      <c r="X188">
        <v>1636017</v>
      </c>
      <c r="Y188" t="s">
        <v>33</v>
      </c>
      <c r="Z188" s="14">
        <f>IF(Table2[[#This Row],[Delivery_Date]]&lt;=Table2[[#This Row],[Planned_Date]],1,0)</f>
        <v>1</v>
      </c>
      <c r="AA188" s="18">
        <f>Table2[[#This Row],[Units_Damaged]]/Table2[[#This Row],[Units_Shipped]]</f>
        <v>1.9736842105263157E-2</v>
      </c>
      <c r="AB188">
        <f t="shared" si="10"/>
        <v>40479</v>
      </c>
      <c r="AC188" s="17">
        <f t="shared" si="11"/>
        <v>2.4742407933413896E-2</v>
      </c>
    </row>
    <row r="189" spans="1:29" x14ac:dyDescent="0.25">
      <c r="A189" t="s">
        <v>261</v>
      </c>
      <c r="B189" s="1">
        <v>46305</v>
      </c>
      <c r="C189" s="1">
        <v>46171</v>
      </c>
      <c r="D189" t="s">
        <v>44</v>
      </c>
      <c r="E189" t="s">
        <v>36</v>
      </c>
      <c r="F189" t="s">
        <v>46</v>
      </c>
      <c r="G189" t="s">
        <v>47</v>
      </c>
      <c r="H189" t="s">
        <v>48</v>
      </c>
      <c r="I189" t="s">
        <v>91</v>
      </c>
      <c r="J189" t="s">
        <v>92</v>
      </c>
      <c r="K189" s="14" t="str">
        <f t="shared" si="8"/>
        <v>Cross River → Delta</v>
      </c>
      <c r="L189" t="s">
        <v>41</v>
      </c>
      <c r="M189">
        <v>121</v>
      </c>
      <c r="N189">
        <v>118</v>
      </c>
      <c r="O189">
        <v>3</v>
      </c>
      <c r="P189">
        <v>326</v>
      </c>
      <c r="Q189" s="14" t="str">
        <f t="shared" si="9"/>
        <v>251–500 km</v>
      </c>
      <c r="R189" s="14" t="str">
        <f>IF(Table2[[#This Row],[Distance Bands]]="0–100 km","Short",
IF(Table2[[#This Row],[Distance Bands]]="101–250 km","Medium",
IF(Table2[[#This Row],[Distance Bands]]="251–500 km","Long",
IF(Table2[[#This Row],[Distance Bands]]="501–1,000 km","Very Long",
"Extreme"))))</f>
        <v>Long</v>
      </c>
      <c r="S189" s="13">
        <f>Table2[[#This Row],[Freight_Cost_NGN]]/Table2[[#This Row],[Distance_km]]</f>
        <v>4997.0092024539881</v>
      </c>
      <c r="T189">
        <v>2</v>
      </c>
      <c r="U189">
        <v>2</v>
      </c>
      <c r="V189" s="14">
        <f>Table2[[#This Row],[Actual_Transit_Days]]-Table2[[#This Row],[Planned_Transit_Days]]</f>
        <v>0</v>
      </c>
      <c r="W189">
        <v>1629025</v>
      </c>
      <c r="X189">
        <v>1793102</v>
      </c>
      <c r="Y189" t="s">
        <v>42</v>
      </c>
      <c r="Z189" s="14">
        <f>IF(Table2[[#This Row],[Delivery_Date]]&lt;=Table2[[#This Row],[Planned_Date]],1,0)</f>
        <v>1</v>
      </c>
      <c r="AA189" s="18">
        <f>Table2[[#This Row],[Units_Damaged]]/Table2[[#This Row],[Units_Shipped]]</f>
        <v>2.4793388429752067E-2</v>
      </c>
      <c r="AB189">
        <f t="shared" si="10"/>
        <v>-164077</v>
      </c>
      <c r="AC189" s="17">
        <f t="shared" si="11"/>
        <v>-9.1504554676755695E-2</v>
      </c>
    </row>
    <row r="190" spans="1:29" x14ac:dyDescent="0.25">
      <c r="A190" t="s">
        <v>262</v>
      </c>
      <c r="B190" s="1">
        <v>46306</v>
      </c>
      <c r="C190" s="1">
        <v>46249</v>
      </c>
      <c r="D190" t="s">
        <v>57</v>
      </c>
      <c r="E190" t="s">
        <v>36</v>
      </c>
      <c r="F190" t="s">
        <v>37</v>
      </c>
      <c r="G190" t="s">
        <v>91</v>
      </c>
      <c r="H190" t="s">
        <v>92</v>
      </c>
      <c r="I190" t="s">
        <v>80</v>
      </c>
      <c r="J190" t="s">
        <v>80</v>
      </c>
      <c r="K190" s="14" t="str">
        <f t="shared" si="8"/>
        <v>Delta → Enugu</v>
      </c>
      <c r="L190" t="s">
        <v>41</v>
      </c>
      <c r="M190">
        <v>124</v>
      </c>
      <c r="N190">
        <v>123</v>
      </c>
      <c r="O190">
        <v>1</v>
      </c>
      <c r="P190">
        <v>582</v>
      </c>
      <c r="Q190" s="14" t="str">
        <f t="shared" si="9"/>
        <v>501–1,000 km</v>
      </c>
      <c r="R190" s="14" t="str">
        <f>IF(Table2[[#This Row],[Distance Bands]]="0–100 km","Short",
IF(Table2[[#This Row],[Distance Bands]]="101–250 km","Medium",
IF(Table2[[#This Row],[Distance Bands]]="251–500 km","Long",
IF(Table2[[#This Row],[Distance Bands]]="501–1,000 km","Very Long",
"Extreme"))))</f>
        <v>Very Long</v>
      </c>
      <c r="S190" s="13">
        <f>Table2[[#This Row],[Freight_Cost_NGN]]/Table2[[#This Row],[Distance_km]]</f>
        <v>1803.0756013745704</v>
      </c>
      <c r="T190">
        <v>4</v>
      </c>
      <c r="U190">
        <v>4</v>
      </c>
      <c r="V190" s="14">
        <f>Table2[[#This Row],[Actual_Transit_Days]]-Table2[[#This Row],[Planned_Transit_Days]]</f>
        <v>0</v>
      </c>
      <c r="W190">
        <v>1049390</v>
      </c>
      <c r="X190">
        <v>1146891</v>
      </c>
      <c r="Y190" t="s">
        <v>42</v>
      </c>
      <c r="Z190" s="14">
        <f>IF(Table2[[#This Row],[Delivery_Date]]&lt;=Table2[[#This Row],[Planned_Date]],1,0)</f>
        <v>1</v>
      </c>
      <c r="AA190" s="18">
        <f>Table2[[#This Row],[Units_Damaged]]/Table2[[#This Row],[Units_Shipped]]</f>
        <v>8.0645161290322578E-3</v>
      </c>
      <c r="AB190">
        <f t="shared" si="10"/>
        <v>-97501</v>
      </c>
      <c r="AC190" s="17">
        <f t="shared" si="11"/>
        <v>-8.5013309896058126E-2</v>
      </c>
    </row>
    <row r="191" spans="1:29" x14ac:dyDescent="0.25">
      <c r="A191" t="s">
        <v>263</v>
      </c>
      <c r="B191" s="1">
        <v>46307</v>
      </c>
      <c r="C191" s="1">
        <v>46054</v>
      </c>
      <c r="D191" t="s">
        <v>26</v>
      </c>
      <c r="E191" t="s">
        <v>57</v>
      </c>
      <c r="F191" t="s">
        <v>46</v>
      </c>
      <c r="G191" t="s">
        <v>30</v>
      </c>
      <c r="H191" t="s">
        <v>31</v>
      </c>
      <c r="I191" t="s">
        <v>72</v>
      </c>
      <c r="J191" t="s">
        <v>72</v>
      </c>
      <c r="K191" s="14" t="str">
        <f t="shared" si="8"/>
        <v>Kwara → Lagos</v>
      </c>
      <c r="L191" t="s">
        <v>60</v>
      </c>
      <c r="M191">
        <v>106</v>
      </c>
      <c r="N191">
        <v>103</v>
      </c>
      <c r="O191">
        <v>3</v>
      </c>
      <c r="P191">
        <v>751</v>
      </c>
      <c r="Q191" s="14" t="str">
        <f t="shared" si="9"/>
        <v>501–1,000 km</v>
      </c>
      <c r="R191" s="14" t="str">
        <f>IF(Table2[[#This Row],[Distance Bands]]="0–100 km","Short",
IF(Table2[[#This Row],[Distance Bands]]="101–250 km","Medium",
IF(Table2[[#This Row],[Distance Bands]]="251–500 km","Long",
IF(Table2[[#This Row],[Distance Bands]]="501–1,000 km","Very Long",
"Extreme"))))</f>
        <v>Very Long</v>
      </c>
      <c r="S191" s="13">
        <f>Table2[[#This Row],[Freight_Cost_NGN]]/Table2[[#This Row],[Distance_km]]</f>
        <v>1887.5805592543275</v>
      </c>
      <c r="T191">
        <v>3</v>
      </c>
      <c r="U191">
        <v>3</v>
      </c>
      <c r="V191" s="14">
        <f>Table2[[#This Row],[Actual_Transit_Days]]-Table2[[#This Row],[Planned_Transit_Days]]</f>
        <v>0</v>
      </c>
      <c r="W191">
        <v>1417573</v>
      </c>
      <c r="X191">
        <v>1504807</v>
      </c>
      <c r="Y191" t="s">
        <v>42</v>
      </c>
      <c r="Z191" s="14">
        <f>IF(Table2[[#This Row],[Delivery_Date]]&lt;=Table2[[#This Row],[Planned_Date]],1,0)</f>
        <v>1</v>
      </c>
      <c r="AA191" s="18">
        <f>Table2[[#This Row],[Units_Damaged]]/Table2[[#This Row],[Units_Shipped]]</f>
        <v>2.8301886792452831E-2</v>
      </c>
      <c r="AB191">
        <f t="shared" si="10"/>
        <v>-87234</v>
      </c>
      <c r="AC191" s="17">
        <f t="shared" si="11"/>
        <v>-5.7970224753074645E-2</v>
      </c>
    </row>
    <row r="192" spans="1:29" x14ac:dyDescent="0.25">
      <c r="A192" t="s">
        <v>264</v>
      </c>
      <c r="B192" s="1">
        <v>46308</v>
      </c>
      <c r="C192" s="1">
        <v>46150</v>
      </c>
      <c r="D192" t="s">
        <v>26</v>
      </c>
      <c r="E192" t="s">
        <v>52</v>
      </c>
      <c r="F192" t="s">
        <v>46</v>
      </c>
      <c r="G192" t="s">
        <v>80</v>
      </c>
      <c r="H192" t="s">
        <v>80</v>
      </c>
      <c r="I192" t="s">
        <v>39</v>
      </c>
      <c r="J192" t="s">
        <v>40</v>
      </c>
      <c r="K192" s="14" t="str">
        <f t="shared" si="8"/>
        <v>Enugu → Anambra</v>
      </c>
      <c r="L192" t="s">
        <v>41</v>
      </c>
      <c r="M192">
        <v>146</v>
      </c>
      <c r="N192">
        <v>142</v>
      </c>
      <c r="O192">
        <v>4</v>
      </c>
      <c r="P192">
        <v>144</v>
      </c>
      <c r="Q192" s="14" t="str">
        <f t="shared" si="9"/>
        <v>101–250 km</v>
      </c>
      <c r="R192" s="14" t="str">
        <f>IF(Table2[[#This Row],[Distance Bands]]="0–100 km","Short",
IF(Table2[[#This Row],[Distance Bands]]="101–250 km","Medium",
IF(Table2[[#This Row],[Distance Bands]]="251–500 km","Long",
IF(Table2[[#This Row],[Distance Bands]]="501–1,000 km","Very Long",
"Extreme"))))</f>
        <v>Medium</v>
      </c>
      <c r="S192" s="13">
        <f>Table2[[#This Row],[Freight_Cost_NGN]]/Table2[[#This Row],[Distance_km]]</f>
        <v>6094.458333333333</v>
      </c>
      <c r="T192">
        <v>4</v>
      </c>
      <c r="U192">
        <v>5</v>
      </c>
      <c r="V192" s="14">
        <f>Table2[[#This Row],[Actual_Transit_Days]]-Table2[[#This Row],[Planned_Transit_Days]]</f>
        <v>1</v>
      </c>
      <c r="W192">
        <v>877602</v>
      </c>
      <c r="X192">
        <v>902297</v>
      </c>
      <c r="Y192" t="s">
        <v>33</v>
      </c>
      <c r="Z192" s="14">
        <f>IF(Table2[[#This Row],[Delivery_Date]]&lt;=Table2[[#This Row],[Planned_Date]],1,0)</f>
        <v>1</v>
      </c>
      <c r="AA192" s="18">
        <f>Table2[[#This Row],[Units_Damaged]]/Table2[[#This Row],[Units_Shipped]]</f>
        <v>2.7397260273972601E-2</v>
      </c>
      <c r="AB192">
        <f t="shared" si="10"/>
        <v>-24695</v>
      </c>
      <c r="AC192" s="17">
        <f t="shared" si="11"/>
        <v>-2.7369037024394405E-2</v>
      </c>
    </row>
    <row r="193" spans="1:29" x14ac:dyDescent="0.25">
      <c r="A193" t="s">
        <v>265</v>
      </c>
      <c r="B193" s="1">
        <v>46309</v>
      </c>
      <c r="C193" s="1">
        <v>46120</v>
      </c>
      <c r="D193" t="s">
        <v>62</v>
      </c>
      <c r="E193" t="s">
        <v>103</v>
      </c>
      <c r="F193" t="s">
        <v>46</v>
      </c>
      <c r="G193" t="s">
        <v>38</v>
      </c>
      <c r="H193" t="s">
        <v>38</v>
      </c>
      <c r="I193" t="s">
        <v>30</v>
      </c>
      <c r="J193" t="s">
        <v>31</v>
      </c>
      <c r="K193" s="14" t="str">
        <f t="shared" si="8"/>
        <v>Kano → Kwara</v>
      </c>
      <c r="L193" t="s">
        <v>60</v>
      </c>
      <c r="M193">
        <v>82</v>
      </c>
      <c r="N193">
        <v>82</v>
      </c>
      <c r="O193">
        <v>0</v>
      </c>
      <c r="P193">
        <v>246</v>
      </c>
      <c r="Q193" s="14" t="str">
        <f t="shared" si="9"/>
        <v>101–250 km</v>
      </c>
      <c r="R193" s="14" t="str">
        <f>IF(Table2[[#This Row],[Distance Bands]]="0–100 km","Short",
IF(Table2[[#This Row],[Distance Bands]]="101–250 km","Medium",
IF(Table2[[#This Row],[Distance Bands]]="251–500 km","Long",
IF(Table2[[#This Row],[Distance Bands]]="501–1,000 km","Very Long",
"Extreme"))))</f>
        <v>Medium</v>
      </c>
      <c r="S193" s="13">
        <f>Table2[[#This Row],[Freight_Cost_NGN]]/Table2[[#This Row],[Distance_km]]</f>
        <v>1858.3333333333333</v>
      </c>
      <c r="T193">
        <v>5</v>
      </c>
      <c r="U193">
        <v>5</v>
      </c>
      <c r="V193" s="14">
        <f>Table2[[#This Row],[Actual_Transit_Days]]-Table2[[#This Row],[Planned_Transit_Days]]</f>
        <v>0</v>
      </c>
      <c r="W193">
        <v>457150</v>
      </c>
      <c r="X193">
        <v>426474</v>
      </c>
      <c r="Y193" t="s">
        <v>42</v>
      </c>
      <c r="Z193" s="14">
        <f>IF(Table2[[#This Row],[Delivery_Date]]&lt;=Table2[[#This Row],[Planned_Date]],1,0)</f>
        <v>1</v>
      </c>
      <c r="AA193" s="18">
        <f>Table2[[#This Row],[Units_Damaged]]/Table2[[#This Row],[Units_Shipped]]</f>
        <v>0</v>
      </c>
      <c r="AB193">
        <f t="shared" si="10"/>
        <v>30676</v>
      </c>
      <c r="AC193" s="17">
        <f t="shared" si="11"/>
        <v>7.1929355599637965E-2</v>
      </c>
    </row>
    <row r="194" spans="1:29" x14ac:dyDescent="0.25">
      <c r="A194" t="s">
        <v>266</v>
      </c>
      <c r="B194" s="1">
        <v>46310</v>
      </c>
      <c r="C194" s="1">
        <v>46067</v>
      </c>
      <c r="D194" t="s">
        <v>62</v>
      </c>
      <c r="E194" t="s">
        <v>52</v>
      </c>
      <c r="F194" t="s">
        <v>63</v>
      </c>
      <c r="G194" t="s">
        <v>54</v>
      </c>
      <c r="H194" t="s">
        <v>55</v>
      </c>
      <c r="I194" t="s">
        <v>39</v>
      </c>
      <c r="J194" t="s">
        <v>40</v>
      </c>
      <c r="K194" s="14" t="str">
        <f t="shared" si="8"/>
        <v>Rivers → Anambra</v>
      </c>
      <c r="L194" t="s">
        <v>41</v>
      </c>
      <c r="M194">
        <v>153</v>
      </c>
      <c r="N194">
        <v>153</v>
      </c>
      <c r="O194">
        <v>0</v>
      </c>
      <c r="P194">
        <v>349</v>
      </c>
      <c r="Q194" s="14" t="str">
        <f t="shared" si="9"/>
        <v>251–500 km</v>
      </c>
      <c r="R194" s="14" t="str">
        <f>IF(Table2[[#This Row],[Distance Bands]]="0–100 km","Short",
IF(Table2[[#This Row],[Distance Bands]]="101–250 km","Medium",
IF(Table2[[#This Row],[Distance Bands]]="251–500 km","Long",
IF(Table2[[#This Row],[Distance Bands]]="501–1,000 km","Very Long",
"Extreme"))))</f>
        <v>Long</v>
      </c>
      <c r="S194" s="13">
        <f>Table2[[#This Row],[Freight_Cost_NGN]]/Table2[[#This Row],[Distance_km]]</f>
        <v>6639.5902578796558</v>
      </c>
      <c r="T194">
        <v>3</v>
      </c>
      <c r="U194">
        <v>6</v>
      </c>
      <c r="V194" s="14">
        <f>Table2[[#This Row],[Actual_Transit_Days]]-Table2[[#This Row],[Planned_Transit_Days]]</f>
        <v>3</v>
      </c>
      <c r="W194">
        <v>2317217</v>
      </c>
      <c r="X194">
        <v>2409432</v>
      </c>
      <c r="Y194" t="s">
        <v>33</v>
      </c>
      <c r="Z194" s="14">
        <f>IF(Table2[[#This Row],[Delivery_Date]]&lt;=Table2[[#This Row],[Planned_Date]],1,0)</f>
        <v>1</v>
      </c>
      <c r="AA194" s="18">
        <f>Table2[[#This Row],[Units_Damaged]]/Table2[[#This Row],[Units_Shipped]]</f>
        <v>0</v>
      </c>
      <c r="AB194">
        <f t="shared" si="10"/>
        <v>-92215</v>
      </c>
      <c r="AC194" s="17">
        <f t="shared" si="11"/>
        <v>-3.8272505719190247E-2</v>
      </c>
    </row>
    <row r="195" spans="1:29" x14ac:dyDescent="0.25">
      <c r="A195" t="s">
        <v>267</v>
      </c>
      <c r="B195" s="1">
        <v>46311</v>
      </c>
      <c r="C195" s="1">
        <v>46070</v>
      </c>
      <c r="D195" t="s">
        <v>35</v>
      </c>
      <c r="E195" t="s">
        <v>36</v>
      </c>
      <c r="F195" t="s">
        <v>28</v>
      </c>
      <c r="G195" t="s">
        <v>64</v>
      </c>
      <c r="H195" t="s">
        <v>65</v>
      </c>
      <c r="I195" t="s">
        <v>30</v>
      </c>
      <c r="J195" t="s">
        <v>31</v>
      </c>
      <c r="K195" s="14" t="str">
        <f t="shared" ref="K195:K258" si="12">H195&amp;" → "&amp;J195</f>
        <v>Plateau → Kwara</v>
      </c>
      <c r="L195" t="s">
        <v>32</v>
      </c>
      <c r="M195">
        <v>69</v>
      </c>
      <c r="N195">
        <v>68</v>
      </c>
      <c r="O195">
        <v>1</v>
      </c>
      <c r="P195">
        <v>32</v>
      </c>
      <c r="Q195" s="14" t="str">
        <f t="shared" ref="Q195:Q258" si="13">IF(P195&lt;=100,"0–100 km",
IF(P195&lt;=250,"101–250 km",
IF(P195&lt;=500,"251–500 km",
IF(P195&lt;=1000,"501–1,000 km",
"1,000+ km"))))</f>
        <v>0–100 km</v>
      </c>
      <c r="R195" s="14" t="str">
        <f>IF(Table2[[#This Row],[Distance Bands]]="0–100 km","Short",
IF(Table2[[#This Row],[Distance Bands]]="101–250 km","Medium",
IF(Table2[[#This Row],[Distance Bands]]="251–500 km","Long",
IF(Table2[[#This Row],[Distance Bands]]="501–1,000 km","Very Long",
"Extreme"))))</f>
        <v>Short</v>
      </c>
      <c r="S195" s="13">
        <f>Table2[[#This Row],[Freight_Cost_NGN]]/Table2[[#This Row],[Distance_km]]</f>
        <v>26298</v>
      </c>
      <c r="T195">
        <v>5</v>
      </c>
      <c r="U195">
        <v>9</v>
      </c>
      <c r="V195" s="14">
        <f>Table2[[#This Row],[Actual_Transit_Days]]-Table2[[#This Row],[Planned_Transit_Days]]</f>
        <v>4</v>
      </c>
      <c r="W195">
        <v>841536</v>
      </c>
      <c r="X195">
        <v>846657</v>
      </c>
      <c r="Y195" t="s">
        <v>75</v>
      </c>
      <c r="Z195" s="14">
        <f>IF(Table2[[#This Row],[Delivery_Date]]&lt;=Table2[[#This Row],[Planned_Date]],1,0)</f>
        <v>1</v>
      </c>
      <c r="AA195" s="18">
        <f>Table2[[#This Row],[Units_Damaged]]/Table2[[#This Row],[Units_Shipped]]</f>
        <v>1.4492753623188406E-2</v>
      </c>
      <c r="AB195">
        <f t="shared" si="10"/>
        <v>-5121</v>
      </c>
      <c r="AC195" s="17">
        <f t="shared" si="11"/>
        <v>-6.0484942544619608E-3</v>
      </c>
    </row>
    <row r="196" spans="1:29" x14ac:dyDescent="0.25">
      <c r="A196" t="s">
        <v>268</v>
      </c>
      <c r="B196" s="1">
        <v>46312</v>
      </c>
      <c r="C196" s="1">
        <v>46181</v>
      </c>
      <c r="D196" t="s">
        <v>77</v>
      </c>
      <c r="E196" t="s">
        <v>45</v>
      </c>
      <c r="F196" t="s">
        <v>53</v>
      </c>
      <c r="G196" t="s">
        <v>30</v>
      </c>
      <c r="H196" t="s">
        <v>31</v>
      </c>
      <c r="I196" t="s">
        <v>68</v>
      </c>
      <c r="J196" t="s">
        <v>69</v>
      </c>
      <c r="K196" s="14" t="str">
        <f t="shared" si="12"/>
        <v>Kwara → Abia</v>
      </c>
      <c r="L196" t="s">
        <v>41</v>
      </c>
      <c r="M196">
        <v>24</v>
      </c>
      <c r="N196">
        <v>24</v>
      </c>
      <c r="O196">
        <v>0</v>
      </c>
      <c r="P196">
        <v>529</v>
      </c>
      <c r="Q196" s="14" t="str">
        <f t="shared" si="13"/>
        <v>501–1,000 km</v>
      </c>
      <c r="R196" s="14" t="str">
        <f>IF(Table2[[#This Row],[Distance Bands]]="0–100 km","Short",
IF(Table2[[#This Row],[Distance Bands]]="101–250 km","Medium",
IF(Table2[[#This Row],[Distance Bands]]="251–500 km","Long",
IF(Table2[[#This Row],[Distance Bands]]="501–1,000 km","Very Long",
"Extreme"))))</f>
        <v>Very Long</v>
      </c>
      <c r="S196" s="13">
        <f>Table2[[#This Row],[Freight_Cost_NGN]]/Table2[[#This Row],[Distance_km]]</f>
        <v>701.83742911153115</v>
      </c>
      <c r="T196">
        <v>4</v>
      </c>
      <c r="U196">
        <v>5</v>
      </c>
      <c r="V196" s="14">
        <f>Table2[[#This Row],[Actual_Transit_Days]]-Table2[[#This Row],[Planned_Transit_Days]]</f>
        <v>1</v>
      </c>
      <c r="W196">
        <v>371272</v>
      </c>
      <c r="X196">
        <v>359200</v>
      </c>
      <c r="Y196" t="s">
        <v>33</v>
      </c>
      <c r="Z196" s="14">
        <f>IF(Table2[[#This Row],[Delivery_Date]]&lt;=Table2[[#This Row],[Planned_Date]],1,0)</f>
        <v>1</v>
      </c>
      <c r="AA196" s="18">
        <f>Table2[[#This Row],[Units_Damaged]]/Table2[[#This Row],[Units_Shipped]]</f>
        <v>0</v>
      </c>
      <c r="AB196">
        <f t="shared" ref="AB196:AB259" si="14">W196-X196</f>
        <v>12072</v>
      </c>
      <c r="AC196" s="17">
        <f t="shared" ref="AC196:AC259" si="15">AB196/X196</f>
        <v>3.3608017817371938E-2</v>
      </c>
    </row>
    <row r="197" spans="1:29" x14ac:dyDescent="0.25">
      <c r="A197" t="s">
        <v>269</v>
      </c>
      <c r="B197" s="1">
        <v>46313</v>
      </c>
      <c r="C197" s="1">
        <v>46115</v>
      </c>
      <c r="D197" t="s">
        <v>77</v>
      </c>
      <c r="E197" t="s">
        <v>103</v>
      </c>
      <c r="F197" t="s">
        <v>28</v>
      </c>
      <c r="G197" t="s">
        <v>68</v>
      </c>
      <c r="H197" t="s">
        <v>69</v>
      </c>
      <c r="I197" t="s">
        <v>73</v>
      </c>
      <c r="J197" t="s">
        <v>74</v>
      </c>
      <c r="K197" s="14" t="str">
        <f t="shared" si="12"/>
        <v>Abia → Oyo</v>
      </c>
      <c r="L197" t="s">
        <v>41</v>
      </c>
      <c r="M197">
        <v>95</v>
      </c>
      <c r="N197">
        <v>93</v>
      </c>
      <c r="O197">
        <v>2</v>
      </c>
      <c r="P197">
        <v>385</v>
      </c>
      <c r="Q197" s="14" t="str">
        <f t="shared" si="13"/>
        <v>251–500 km</v>
      </c>
      <c r="R197" s="14" t="str">
        <f>IF(Table2[[#This Row],[Distance Bands]]="0–100 km","Short",
IF(Table2[[#This Row],[Distance Bands]]="101–250 km","Medium",
IF(Table2[[#This Row],[Distance Bands]]="251–500 km","Long",
IF(Table2[[#This Row],[Distance Bands]]="501–1,000 km","Very Long",
"Extreme"))))</f>
        <v>Long</v>
      </c>
      <c r="S197" s="13">
        <f>Table2[[#This Row],[Freight_Cost_NGN]]/Table2[[#This Row],[Distance_km]]</f>
        <v>3794.9740259740261</v>
      </c>
      <c r="T197">
        <v>3</v>
      </c>
      <c r="U197">
        <v>3</v>
      </c>
      <c r="V197" s="14">
        <f>Table2[[#This Row],[Actual_Transit_Days]]-Table2[[#This Row],[Planned_Transit_Days]]</f>
        <v>0</v>
      </c>
      <c r="W197">
        <v>1461065</v>
      </c>
      <c r="X197">
        <v>1529473</v>
      </c>
      <c r="Y197" t="s">
        <v>42</v>
      </c>
      <c r="Z197" s="14">
        <f>IF(Table2[[#This Row],[Delivery_Date]]&lt;=Table2[[#This Row],[Planned_Date]],1,0)</f>
        <v>1</v>
      </c>
      <c r="AA197" s="18">
        <f>Table2[[#This Row],[Units_Damaged]]/Table2[[#This Row],[Units_Shipped]]</f>
        <v>2.1052631578947368E-2</v>
      </c>
      <c r="AB197">
        <f t="shared" si="14"/>
        <v>-68408</v>
      </c>
      <c r="AC197" s="17">
        <f t="shared" si="15"/>
        <v>-4.472651691138059E-2</v>
      </c>
    </row>
    <row r="198" spans="1:29" x14ac:dyDescent="0.25">
      <c r="A198" t="s">
        <v>270</v>
      </c>
      <c r="B198" s="1">
        <v>46314</v>
      </c>
      <c r="C198" s="1">
        <v>46247</v>
      </c>
      <c r="D198" t="s">
        <v>62</v>
      </c>
      <c r="E198" t="s">
        <v>45</v>
      </c>
      <c r="F198" t="s">
        <v>46</v>
      </c>
      <c r="G198" t="s">
        <v>80</v>
      </c>
      <c r="H198" t="s">
        <v>80</v>
      </c>
      <c r="I198" t="s">
        <v>38</v>
      </c>
      <c r="J198" t="s">
        <v>38</v>
      </c>
      <c r="K198" s="14" t="str">
        <f t="shared" si="12"/>
        <v>Enugu → Kano</v>
      </c>
      <c r="L198" t="s">
        <v>41</v>
      </c>
      <c r="M198">
        <v>97</v>
      </c>
      <c r="N198">
        <v>96</v>
      </c>
      <c r="O198">
        <v>1</v>
      </c>
      <c r="P198">
        <v>645</v>
      </c>
      <c r="Q198" s="14" t="str">
        <f t="shared" si="13"/>
        <v>501–1,000 km</v>
      </c>
      <c r="R198" s="14" t="str">
        <f>IF(Table2[[#This Row],[Distance Bands]]="0–100 km","Short",
IF(Table2[[#This Row],[Distance Bands]]="101–250 km","Medium",
IF(Table2[[#This Row],[Distance Bands]]="251–500 km","Long",
IF(Table2[[#This Row],[Distance Bands]]="501–1,000 km","Very Long",
"Extreme"))))</f>
        <v>Very Long</v>
      </c>
      <c r="S198" s="13">
        <f>Table2[[#This Row],[Freight_Cost_NGN]]/Table2[[#This Row],[Distance_km]]</f>
        <v>1601.8294573643411</v>
      </c>
      <c r="T198">
        <v>3</v>
      </c>
      <c r="U198">
        <v>10</v>
      </c>
      <c r="V198" s="14">
        <f>Table2[[#This Row],[Actual_Transit_Days]]-Table2[[#This Row],[Planned_Transit_Days]]</f>
        <v>7</v>
      </c>
      <c r="W198">
        <v>1033180</v>
      </c>
      <c r="X198">
        <v>991046</v>
      </c>
      <c r="Y198" t="s">
        <v>75</v>
      </c>
      <c r="Z198" s="14">
        <f>IF(Table2[[#This Row],[Delivery_Date]]&lt;=Table2[[#This Row],[Planned_Date]],1,0)</f>
        <v>1</v>
      </c>
      <c r="AA198" s="18">
        <f>Table2[[#This Row],[Units_Damaged]]/Table2[[#This Row],[Units_Shipped]]</f>
        <v>1.0309278350515464E-2</v>
      </c>
      <c r="AB198">
        <f t="shared" si="14"/>
        <v>42134</v>
      </c>
      <c r="AC198" s="17">
        <f t="shared" si="15"/>
        <v>4.2514676412598408E-2</v>
      </c>
    </row>
    <row r="199" spans="1:29" x14ac:dyDescent="0.25">
      <c r="A199" t="s">
        <v>271</v>
      </c>
      <c r="B199" s="1">
        <v>46315</v>
      </c>
      <c r="C199" s="1">
        <v>46076</v>
      </c>
      <c r="D199" t="s">
        <v>57</v>
      </c>
      <c r="E199" t="s">
        <v>103</v>
      </c>
      <c r="F199" t="s">
        <v>46</v>
      </c>
      <c r="G199" t="s">
        <v>68</v>
      </c>
      <c r="H199" t="s">
        <v>69</v>
      </c>
      <c r="I199" t="s">
        <v>91</v>
      </c>
      <c r="J199" t="s">
        <v>92</v>
      </c>
      <c r="K199" s="14" t="str">
        <f t="shared" si="12"/>
        <v>Abia → Delta</v>
      </c>
      <c r="L199" t="s">
        <v>41</v>
      </c>
      <c r="M199">
        <v>47</v>
      </c>
      <c r="N199">
        <v>46</v>
      </c>
      <c r="O199">
        <v>1</v>
      </c>
      <c r="P199">
        <v>428</v>
      </c>
      <c r="Q199" s="14" t="str">
        <f t="shared" si="13"/>
        <v>251–500 km</v>
      </c>
      <c r="R199" s="14" t="str">
        <f>IF(Table2[[#This Row],[Distance Bands]]="0–100 km","Short",
IF(Table2[[#This Row],[Distance Bands]]="101–250 km","Medium",
IF(Table2[[#This Row],[Distance Bands]]="251–500 km","Long",
IF(Table2[[#This Row],[Distance Bands]]="501–1,000 km","Very Long",
"Extreme"))))</f>
        <v>Long</v>
      </c>
      <c r="S199" s="13">
        <f>Table2[[#This Row],[Freight_Cost_NGN]]/Table2[[#This Row],[Distance_km]]</f>
        <v>1543.7967289719627</v>
      </c>
      <c r="T199">
        <v>1</v>
      </c>
      <c r="U199">
        <v>1</v>
      </c>
      <c r="V199" s="14">
        <f>Table2[[#This Row],[Actual_Transit_Days]]-Table2[[#This Row],[Planned_Transit_Days]]</f>
        <v>0</v>
      </c>
      <c r="W199">
        <v>660745</v>
      </c>
      <c r="X199">
        <v>652665</v>
      </c>
      <c r="Y199" t="s">
        <v>42</v>
      </c>
      <c r="Z199" s="14">
        <f>IF(Table2[[#This Row],[Delivery_Date]]&lt;=Table2[[#This Row],[Planned_Date]],1,0)</f>
        <v>1</v>
      </c>
      <c r="AA199" s="18">
        <f>Table2[[#This Row],[Units_Damaged]]/Table2[[#This Row],[Units_Shipped]]</f>
        <v>2.1276595744680851E-2</v>
      </c>
      <c r="AB199">
        <f t="shared" si="14"/>
        <v>8080</v>
      </c>
      <c r="AC199" s="17">
        <f t="shared" si="15"/>
        <v>1.2380011184911095E-2</v>
      </c>
    </row>
    <row r="200" spans="1:29" x14ac:dyDescent="0.25">
      <c r="A200" t="s">
        <v>272</v>
      </c>
      <c r="B200" s="1">
        <v>46316</v>
      </c>
      <c r="C200" s="1">
        <v>46069</v>
      </c>
      <c r="D200" t="s">
        <v>26</v>
      </c>
      <c r="E200" t="s">
        <v>36</v>
      </c>
      <c r="F200" t="s">
        <v>37</v>
      </c>
      <c r="G200" t="s">
        <v>64</v>
      </c>
      <c r="H200" t="s">
        <v>65</v>
      </c>
      <c r="I200" t="s">
        <v>38</v>
      </c>
      <c r="J200" t="s">
        <v>38</v>
      </c>
      <c r="K200" s="14" t="str">
        <f t="shared" si="12"/>
        <v>Plateau → Kano</v>
      </c>
      <c r="L200" t="s">
        <v>32</v>
      </c>
      <c r="M200">
        <v>25</v>
      </c>
      <c r="N200">
        <v>24</v>
      </c>
      <c r="O200">
        <v>1</v>
      </c>
      <c r="P200">
        <v>843</v>
      </c>
      <c r="Q200" s="14" t="str">
        <f t="shared" si="13"/>
        <v>501–1,000 km</v>
      </c>
      <c r="R200" s="14" t="str">
        <f>IF(Table2[[#This Row],[Distance Bands]]="0–100 km","Short",
IF(Table2[[#This Row],[Distance Bands]]="101–250 km","Medium",
IF(Table2[[#This Row],[Distance Bands]]="251–500 km","Long",
IF(Table2[[#This Row],[Distance Bands]]="501–1,000 km","Very Long",
"Extreme"))))</f>
        <v>Very Long</v>
      </c>
      <c r="S200" s="13">
        <f>Table2[[#This Row],[Freight_Cost_NGN]]/Table2[[#This Row],[Distance_km]]</f>
        <v>328.84934756820877</v>
      </c>
      <c r="T200">
        <v>3</v>
      </c>
      <c r="U200">
        <v>6</v>
      </c>
      <c r="V200" s="14">
        <f>Table2[[#This Row],[Actual_Transit_Days]]-Table2[[#This Row],[Planned_Transit_Days]]</f>
        <v>3</v>
      </c>
      <c r="W200">
        <v>277220</v>
      </c>
      <c r="X200">
        <v>256687</v>
      </c>
      <c r="Y200" t="s">
        <v>33</v>
      </c>
      <c r="Z200" s="14">
        <f>IF(Table2[[#This Row],[Delivery_Date]]&lt;=Table2[[#This Row],[Planned_Date]],1,0)</f>
        <v>1</v>
      </c>
      <c r="AA200" s="18">
        <f>Table2[[#This Row],[Units_Damaged]]/Table2[[#This Row],[Units_Shipped]]</f>
        <v>0.04</v>
      </c>
      <c r="AB200">
        <f t="shared" si="14"/>
        <v>20533</v>
      </c>
      <c r="AC200" s="17">
        <f t="shared" si="15"/>
        <v>7.9992364241274386E-2</v>
      </c>
    </row>
    <row r="201" spans="1:29" x14ac:dyDescent="0.25">
      <c r="A201" t="s">
        <v>273</v>
      </c>
      <c r="B201" s="1">
        <v>46317</v>
      </c>
      <c r="C201" s="1">
        <v>46074</v>
      </c>
      <c r="D201" t="s">
        <v>44</v>
      </c>
      <c r="E201" t="s">
        <v>27</v>
      </c>
      <c r="F201" t="s">
        <v>46</v>
      </c>
      <c r="G201" t="s">
        <v>68</v>
      </c>
      <c r="H201" t="s">
        <v>69</v>
      </c>
      <c r="I201" t="s">
        <v>47</v>
      </c>
      <c r="J201" t="s">
        <v>48</v>
      </c>
      <c r="K201" s="14" t="str">
        <f t="shared" si="12"/>
        <v>Abia → Cross River</v>
      </c>
      <c r="L201" t="s">
        <v>60</v>
      </c>
      <c r="M201">
        <v>23</v>
      </c>
      <c r="N201">
        <v>22</v>
      </c>
      <c r="O201">
        <v>1</v>
      </c>
      <c r="P201">
        <v>356</v>
      </c>
      <c r="Q201" s="14" t="str">
        <f t="shared" si="13"/>
        <v>251–500 km</v>
      </c>
      <c r="R201" s="14" t="str">
        <f>IF(Table2[[#This Row],[Distance Bands]]="0–100 km","Short",
IF(Table2[[#This Row],[Distance Bands]]="101–250 km","Medium",
IF(Table2[[#This Row],[Distance Bands]]="251–500 km","Long",
IF(Table2[[#This Row],[Distance Bands]]="501–1,000 km","Very Long",
"Extreme"))))</f>
        <v>Long</v>
      </c>
      <c r="S201" s="13">
        <f>Table2[[#This Row],[Freight_Cost_NGN]]/Table2[[#This Row],[Distance_km]]</f>
        <v>944.89887640449433</v>
      </c>
      <c r="T201">
        <v>2</v>
      </c>
      <c r="U201">
        <v>2</v>
      </c>
      <c r="V201" s="14">
        <f>Table2[[#This Row],[Actual_Transit_Days]]-Table2[[#This Row],[Planned_Transit_Days]]</f>
        <v>0</v>
      </c>
      <c r="W201">
        <v>336384</v>
      </c>
      <c r="X201">
        <v>350371</v>
      </c>
      <c r="Y201" t="s">
        <v>42</v>
      </c>
      <c r="Z201" s="14">
        <f>IF(Table2[[#This Row],[Delivery_Date]]&lt;=Table2[[#This Row],[Planned_Date]],1,0)</f>
        <v>1</v>
      </c>
      <c r="AA201" s="18">
        <f>Table2[[#This Row],[Units_Damaged]]/Table2[[#This Row],[Units_Shipped]]</f>
        <v>4.3478260869565216E-2</v>
      </c>
      <c r="AB201">
        <f t="shared" si="14"/>
        <v>-13987</v>
      </c>
      <c r="AC201" s="17">
        <f t="shared" si="15"/>
        <v>-3.9920541369005996E-2</v>
      </c>
    </row>
    <row r="202" spans="1:29" x14ac:dyDescent="0.25">
      <c r="A202" t="s">
        <v>274</v>
      </c>
      <c r="B202" s="1">
        <v>46318</v>
      </c>
      <c r="C202" s="1">
        <v>46121</v>
      </c>
      <c r="D202" t="s">
        <v>44</v>
      </c>
      <c r="E202" t="s">
        <v>27</v>
      </c>
      <c r="F202" t="s">
        <v>37</v>
      </c>
      <c r="G202" t="s">
        <v>80</v>
      </c>
      <c r="H202" t="s">
        <v>80</v>
      </c>
      <c r="I202" t="s">
        <v>54</v>
      </c>
      <c r="J202" t="s">
        <v>55</v>
      </c>
      <c r="K202" s="14" t="str">
        <f t="shared" si="12"/>
        <v>Enugu → Rivers</v>
      </c>
      <c r="L202" t="s">
        <v>41</v>
      </c>
      <c r="M202">
        <v>88</v>
      </c>
      <c r="N202">
        <v>87</v>
      </c>
      <c r="O202">
        <v>1</v>
      </c>
      <c r="P202">
        <v>682</v>
      </c>
      <c r="Q202" s="14" t="str">
        <f t="shared" si="13"/>
        <v>501–1,000 km</v>
      </c>
      <c r="R202" s="14" t="str">
        <f>IF(Table2[[#This Row],[Distance Bands]]="0–100 km","Short",
IF(Table2[[#This Row],[Distance Bands]]="101–250 km","Medium",
IF(Table2[[#This Row],[Distance Bands]]="251–500 km","Long",
IF(Table2[[#This Row],[Distance Bands]]="501–1,000 km","Very Long",
"Extreme"))))</f>
        <v>Very Long</v>
      </c>
      <c r="S202" s="13">
        <f>Table2[[#This Row],[Freight_Cost_NGN]]/Table2[[#This Row],[Distance_km]]</f>
        <v>1574.0322580645161</v>
      </c>
      <c r="T202">
        <v>5</v>
      </c>
      <c r="U202">
        <v>8</v>
      </c>
      <c r="V202" s="14">
        <f>Table2[[#This Row],[Actual_Transit_Days]]-Table2[[#This Row],[Planned_Transit_Days]]</f>
        <v>3</v>
      </c>
      <c r="W202">
        <v>1073490</v>
      </c>
      <c r="X202">
        <v>1070020</v>
      </c>
      <c r="Y202" t="s">
        <v>33</v>
      </c>
      <c r="Z202" s="14">
        <f>IF(Table2[[#This Row],[Delivery_Date]]&lt;=Table2[[#This Row],[Planned_Date]],1,0)</f>
        <v>1</v>
      </c>
      <c r="AA202" s="18">
        <f>Table2[[#This Row],[Units_Damaged]]/Table2[[#This Row],[Units_Shipped]]</f>
        <v>1.1363636363636364E-2</v>
      </c>
      <c r="AB202">
        <f t="shared" si="14"/>
        <v>3470</v>
      </c>
      <c r="AC202" s="17">
        <f t="shared" si="15"/>
        <v>3.2429300386908654E-3</v>
      </c>
    </row>
    <row r="203" spans="1:29" x14ac:dyDescent="0.25">
      <c r="A203" t="s">
        <v>275</v>
      </c>
      <c r="B203" s="1">
        <v>46319</v>
      </c>
      <c r="C203" s="1">
        <v>46199</v>
      </c>
      <c r="D203" t="s">
        <v>57</v>
      </c>
      <c r="E203" t="s">
        <v>27</v>
      </c>
      <c r="F203" t="s">
        <v>28</v>
      </c>
      <c r="G203" t="s">
        <v>47</v>
      </c>
      <c r="H203" t="s">
        <v>48</v>
      </c>
      <c r="I203" t="s">
        <v>39</v>
      </c>
      <c r="J203" t="s">
        <v>40</v>
      </c>
      <c r="K203" s="14" t="str">
        <f t="shared" si="12"/>
        <v>Cross River → Anambra</v>
      </c>
      <c r="L203" t="s">
        <v>41</v>
      </c>
      <c r="M203">
        <v>126</v>
      </c>
      <c r="N203">
        <v>122</v>
      </c>
      <c r="O203">
        <v>4</v>
      </c>
      <c r="P203">
        <v>779</v>
      </c>
      <c r="Q203" s="14" t="str">
        <f t="shared" si="13"/>
        <v>501–1,000 km</v>
      </c>
      <c r="R203" s="14" t="str">
        <f>IF(Table2[[#This Row],[Distance Bands]]="0–100 km","Short",
IF(Table2[[#This Row],[Distance Bands]]="101–250 km","Medium",
IF(Table2[[#This Row],[Distance Bands]]="251–500 km","Long",
IF(Table2[[#This Row],[Distance Bands]]="501–1,000 km","Very Long",
"Extreme"))))</f>
        <v>Very Long</v>
      </c>
      <c r="S203" s="13">
        <f>Table2[[#This Row],[Freight_Cost_NGN]]/Table2[[#This Row],[Distance_km]]</f>
        <v>1354.8934531450577</v>
      </c>
      <c r="T203">
        <v>5</v>
      </c>
      <c r="U203">
        <v>5</v>
      </c>
      <c r="V203" s="14">
        <f>Table2[[#This Row],[Actual_Transit_Days]]-Table2[[#This Row],[Planned_Transit_Days]]</f>
        <v>0</v>
      </c>
      <c r="W203">
        <v>1055462</v>
      </c>
      <c r="X203">
        <v>1169816</v>
      </c>
      <c r="Y203" t="s">
        <v>42</v>
      </c>
      <c r="Z203" s="14">
        <f>IF(Table2[[#This Row],[Delivery_Date]]&lt;=Table2[[#This Row],[Planned_Date]],1,0)</f>
        <v>1</v>
      </c>
      <c r="AA203" s="18">
        <f>Table2[[#This Row],[Units_Damaged]]/Table2[[#This Row],[Units_Shipped]]</f>
        <v>3.1746031746031744E-2</v>
      </c>
      <c r="AB203">
        <f t="shared" si="14"/>
        <v>-114354</v>
      </c>
      <c r="AC203" s="17">
        <f t="shared" si="15"/>
        <v>-9.7753834791112451E-2</v>
      </c>
    </row>
    <row r="204" spans="1:29" x14ac:dyDescent="0.25">
      <c r="A204" t="s">
        <v>276</v>
      </c>
      <c r="B204" s="1">
        <v>46320</v>
      </c>
      <c r="C204" s="1">
        <v>46084</v>
      </c>
      <c r="D204" t="s">
        <v>57</v>
      </c>
      <c r="E204" t="s">
        <v>85</v>
      </c>
      <c r="F204" t="s">
        <v>28</v>
      </c>
      <c r="G204" t="s">
        <v>54</v>
      </c>
      <c r="H204" t="s">
        <v>55</v>
      </c>
      <c r="I204" t="s">
        <v>58</v>
      </c>
      <c r="J204" t="s">
        <v>59</v>
      </c>
      <c r="K204" s="14" t="str">
        <f t="shared" si="12"/>
        <v>Rivers → Ogun</v>
      </c>
      <c r="L204" t="s">
        <v>41</v>
      </c>
      <c r="M204">
        <v>32</v>
      </c>
      <c r="N204">
        <v>31</v>
      </c>
      <c r="O204">
        <v>1</v>
      </c>
      <c r="P204">
        <v>795</v>
      </c>
      <c r="Q204" s="14" t="str">
        <f t="shared" si="13"/>
        <v>501–1,000 km</v>
      </c>
      <c r="R204" s="14" t="str">
        <f>IF(Table2[[#This Row],[Distance Bands]]="0–100 km","Short",
IF(Table2[[#This Row],[Distance Bands]]="101–250 km","Medium",
IF(Table2[[#This Row],[Distance Bands]]="251–500 km","Long",
IF(Table2[[#This Row],[Distance Bands]]="501–1,000 km","Very Long",
"Extreme"))))</f>
        <v>Very Long</v>
      </c>
      <c r="S204" s="13">
        <f>Table2[[#This Row],[Freight_Cost_NGN]]/Table2[[#This Row],[Distance_km]]</f>
        <v>612.12578616352198</v>
      </c>
      <c r="T204">
        <v>6</v>
      </c>
      <c r="U204">
        <v>7</v>
      </c>
      <c r="V204" s="14">
        <f>Table2[[#This Row],[Actual_Transit_Days]]-Table2[[#This Row],[Planned_Transit_Days]]</f>
        <v>1</v>
      </c>
      <c r="W204">
        <v>486640</v>
      </c>
      <c r="X204">
        <v>519827</v>
      </c>
      <c r="Y204" t="s">
        <v>33</v>
      </c>
      <c r="Z204" s="14">
        <f>IF(Table2[[#This Row],[Delivery_Date]]&lt;=Table2[[#This Row],[Planned_Date]],1,0)</f>
        <v>1</v>
      </c>
      <c r="AA204" s="18">
        <f>Table2[[#This Row],[Units_Damaged]]/Table2[[#This Row],[Units_Shipped]]</f>
        <v>3.125E-2</v>
      </c>
      <c r="AB204">
        <f t="shared" si="14"/>
        <v>-33187</v>
      </c>
      <c r="AC204" s="17">
        <f t="shared" si="15"/>
        <v>-6.384239371944897E-2</v>
      </c>
    </row>
    <row r="205" spans="1:29" x14ac:dyDescent="0.25">
      <c r="A205" t="s">
        <v>277</v>
      </c>
      <c r="B205" s="1">
        <v>46321</v>
      </c>
      <c r="C205" s="1">
        <v>46042</v>
      </c>
      <c r="D205" t="s">
        <v>77</v>
      </c>
      <c r="E205" t="s">
        <v>27</v>
      </c>
      <c r="F205" t="s">
        <v>37</v>
      </c>
      <c r="G205" t="s">
        <v>72</v>
      </c>
      <c r="H205" t="s">
        <v>72</v>
      </c>
      <c r="I205" t="s">
        <v>64</v>
      </c>
      <c r="J205" t="s">
        <v>65</v>
      </c>
      <c r="K205" s="14" t="str">
        <f t="shared" si="12"/>
        <v>Lagos → Plateau</v>
      </c>
      <c r="L205" t="s">
        <v>32</v>
      </c>
      <c r="M205">
        <v>49</v>
      </c>
      <c r="N205">
        <v>47</v>
      </c>
      <c r="O205">
        <v>2</v>
      </c>
      <c r="P205">
        <v>381</v>
      </c>
      <c r="Q205" s="14" t="str">
        <f t="shared" si="13"/>
        <v>251–500 km</v>
      </c>
      <c r="R205" s="14" t="str">
        <f>IF(Table2[[#This Row],[Distance Bands]]="0–100 km","Short",
IF(Table2[[#This Row],[Distance Bands]]="101–250 km","Medium",
IF(Table2[[#This Row],[Distance Bands]]="251–500 km","Long",
IF(Table2[[#This Row],[Distance Bands]]="501–1,000 km","Very Long",
"Extreme"))))</f>
        <v>Long</v>
      </c>
      <c r="S205" s="13">
        <f>Table2[[#This Row],[Freight_Cost_NGN]]/Table2[[#This Row],[Distance_km]]</f>
        <v>2002.265091863517</v>
      </c>
      <c r="T205">
        <v>3</v>
      </c>
      <c r="U205">
        <v>4</v>
      </c>
      <c r="V205" s="14">
        <f>Table2[[#This Row],[Actual_Transit_Days]]-Table2[[#This Row],[Planned_Transit_Days]]</f>
        <v>1</v>
      </c>
      <c r="W205">
        <v>762863</v>
      </c>
      <c r="X205">
        <v>787067</v>
      </c>
      <c r="Y205" t="s">
        <v>33</v>
      </c>
      <c r="Z205" s="14">
        <f>IF(Table2[[#This Row],[Delivery_Date]]&lt;=Table2[[#This Row],[Planned_Date]],1,0)</f>
        <v>1</v>
      </c>
      <c r="AA205" s="18">
        <f>Table2[[#This Row],[Units_Damaged]]/Table2[[#This Row],[Units_Shipped]]</f>
        <v>4.0816326530612242E-2</v>
      </c>
      <c r="AB205">
        <f t="shared" si="14"/>
        <v>-24204</v>
      </c>
      <c r="AC205" s="17">
        <f t="shared" si="15"/>
        <v>-3.0752146894737042E-2</v>
      </c>
    </row>
    <row r="206" spans="1:29" x14ac:dyDescent="0.25">
      <c r="A206" t="s">
        <v>278</v>
      </c>
      <c r="B206" s="1">
        <v>46322</v>
      </c>
      <c r="C206" s="1">
        <v>46127</v>
      </c>
      <c r="D206" t="s">
        <v>77</v>
      </c>
      <c r="E206" t="s">
        <v>45</v>
      </c>
      <c r="F206" t="s">
        <v>46</v>
      </c>
      <c r="G206" t="s">
        <v>58</v>
      </c>
      <c r="H206" t="s">
        <v>59</v>
      </c>
      <c r="I206" t="s">
        <v>30</v>
      </c>
      <c r="J206" t="s">
        <v>31</v>
      </c>
      <c r="K206" s="14" t="str">
        <f t="shared" si="12"/>
        <v>Ogun → Kwara</v>
      </c>
      <c r="L206" t="s">
        <v>32</v>
      </c>
      <c r="M206">
        <v>126</v>
      </c>
      <c r="N206">
        <v>125</v>
      </c>
      <c r="O206">
        <v>1</v>
      </c>
      <c r="P206">
        <v>54</v>
      </c>
      <c r="Q206" s="14" t="str">
        <f t="shared" si="13"/>
        <v>0–100 km</v>
      </c>
      <c r="R206" s="14" t="str">
        <f>IF(Table2[[#This Row],[Distance Bands]]="0–100 km","Short",
IF(Table2[[#This Row],[Distance Bands]]="101–250 km","Medium",
IF(Table2[[#This Row],[Distance Bands]]="251–500 km","Long",
IF(Table2[[#This Row],[Distance Bands]]="501–1,000 km","Very Long",
"Extreme"))))</f>
        <v>Short</v>
      </c>
      <c r="S206" s="13">
        <f>Table2[[#This Row],[Freight_Cost_NGN]]/Table2[[#This Row],[Distance_km]]</f>
        <v>18617.333333333332</v>
      </c>
      <c r="T206">
        <v>1</v>
      </c>
      <c r="U206">
        <v>2</v>
      </c>
      <c r="V206" s="14">
        <f>Table2[[#This Row],[Actual_Transit_Days]]-Table2[[#This Row],[Planned_Transit_Days]]</f>
        <v>1</v>
      </c>
      <c r="W206">
        <v>1005336</v>
      </c>
      <c r="X206">
        <v>1085437</v>
      </c>
      <c r="Y206" t="s">
        <v>33</v>
      </c>
      <c r="Z206" s="14">
        <f>IF(Table2[[#This Row],[Delivery_Date]]&lt;=Table2[[#This Row],[Planned_Date]],1,0)</f>
        <v>1</v>
      </c>
      <c r="AA206" s="18">
        <f>Table2[[#This Row],[Units_Damaged]]/Table2[[#This Row],[Units_Shipped]]</f>
        <v>7.9365079365079361E-3</v>
      </c>
      <c r="AB206">
        <f t="shared" si="14"/>
        <v>-80101</v>
      </c>
      <c r="AC206" s="17">
        <f t="shared" si="15"/>
        <v>-7.3796083973551668E-2</v>
      </c>
    </row>
    <row r="207" spans="1:29" x14ac:dyDescent="0.25">
      <c r="A207" t="s">
        <v>279</v>
      </c>
      <c r="B207" s="1">
        <v>46323</v>
      </c>
      <c r="C207" s="1">
        <v>46136</v>
      </c>
      <c r="D207" t="s">
        <v>77</v>
      </c>
      <c r="E207" t="s">
        <v>27</v>
      </c>
      <c r="F207" t="s">
        <v>46</v>
      </c>
      <c r="G207" t="s">
        <v>47</v>
      </c>
      <c r="H207" t="s">
        <v>48</v>
      </c>
      <c r="I207" t="s">
        <v>29</v>
      </c>
      <c r="J207" t="s">
        <v>29</v>
      </c>
      <c r="K207" s="14" t="str">
        <f t="shared" si="12"/>
        <v>Cross River → Kaduna</v>
      </c>
      <c r="L207" t="s">
        <v>41</v>
      </c>
      <c r="M207">
        <v>61</v>
      </c>
      <c r="N207">
        <v>61</v>
      </c>
      <c r="O207">
        <v>0</v>
      </c>
      <c r="P207">
        <v>142</v>
      </c>
      <c r="Q207" s="14" t="str">
        <f t="shared" si="13"/>
        <v>101–250 km</v>
      </c>
      <c r="R207" s="14" t="str">
        <f>IF(Table2[[#This Row],[Distance Bands]]="0–100 km","Short",
IF(Table2[[#This Row],[Distance Bands]]="101–250 km","Medium",
IF(Table2[[#This Row],[Distance Bands]]="251–500 km","Long",
IF(Table2[[#This Row],[Distance Bands]]="501–1,000 km","Very Long",
"Extreme"))))</f>
        <v>Medium</v>
      </c>
      <c r="S207" s="13">
        <f>Table2[[#This Row],[Freight_Cost_NGN]]/Table2[[#This Row],[Distance_km]]</f>
        <v>3164.4577464788731</v>
      </c>
      <c r="T207">
        <v>6</v>
      </c>
      <c r="U207">
        <v>6</v>
      </c>
      <c r="V207" s="14">
        <f>Table2[[#This Row],[Actual_Transit_Days]]-Table2[[#This Row],[Planned_Transit_Days]]</f>
        <v>0</v>
      </c>
      <c r="W207">
        <v>449353</v>
      </c>
      <c r="X207">
        <v>475272</v>
      </c>
      <c r="Y207" t="s">
        <v>42</v>
      </c>
      <c r="Z207" s="14">
        <f>IF(Table2[[#This Row],[Delivery_Date]]&lt;=Table2[[#This Row],[Planned_Date]],1,0)</f>
        <v>1</v>
      </c>
      <c r="AA207" s="18">
        <f>Table2[[#This Row],[Units_Damaged]]/Table2[[#This Row],[Units_Shipped]]</f>
        <v>0</v>
      </c>
      <c r="AB207">
        <f t="shared" si="14"/>
        <v>-25919</v>
      </c>
      <c r="AC207" s="17">
        <f t="shared" si="15"/>
        <v>-5.4535087276338601E-2</v>
      </c>
    </row>
    <row r="208" spans="1:29" x14ac:dyDescent="0.25">
      <c r="A208" t="s">
        <v>280</v>
      </c>
      <c r="B208" s="1">
        <v>46324</v>
      </c>
      <c r="C208" s="1">
        <v>46178</v>
      </c>
      <c r="D208" t="s">
        <v>62</v>
      </c>
      <c r="E208" t="s">
        <v>85</v>
      </c>
      <c r="F208" t="s">
        <v>28</v>
      </c>
      <c r="G208" t="s">
        <v>72</v>
      </c>
      <c r="H208" t="s">
        <v>72</v>
      </c>
      <c r="I208" t="s">
        <v>47</v>
      </c>
      <c r="J208" t="s">
        <v>48</v>
      </c>
      <c r="K208" s="14" t="str">
        <f t="shared" si="12"/>
        <v>Lagos → Cross River</v>
      </c>
      <c r="L208" t="s">
        <v>41</v>
      </c>
      <c r="M208">
        <v>150</v>
      </c>
      <c r="N208">
        <v>148</v>
      </c>
      <c r="O208">
        <v>2</v>
      </c>
      <c r="P208">
        <v>443</v>
      </c>
      <c r="Q208" s="14" t="str">
        <f t="shared" si="13"/>
        <v>251–500 km</v>
      </c>
      <c r="R208" s="14" t="str">
        <f>IF(Table2[[#This Row],[Distance Bands]]="0–100 km","Short",
IF(Table2[[#This Row],[Distance Bands]]="101–250 km","Medium",
IF(Table2[[#This Row],[Distance Bands]]="251–500 km","Long",
IF(Table2[[#This Row],[Distance Bands]]="501–1,000 km","Very Long",
"Extreme"))))</f>
        <v>Long</v>
      </c>
      <c r="S208" s="13">
        <f>Table2[[#This Row],[Freight_Cost_NGN]]/Table2[[#This Row],[Distance_km]]</f>
        <v>3676.5801354401806</v>
      </c>
      <c r="T208">
        <v>3</v>
      </c>
      <c r="U208">
        <v>4</v>
      </c>
      <c r="V208" s="14">
        <f>Table2[[#This Row],[Actual_Transit_Days]]-Table2[[#This Row],[Planned_Transit_Days]]</f>
        <v>1</v>
      </c>
      <c r="W208">
        <v>1628725</v>
      </c>
      <c r="X208">
        <v>1692567</v>
      </c>
      <c r="Y208" t="s">
        <v>33</v>
      </c>
      <c r="Z208" s="14">
        <f>IF(Table2[[#This Row],[Delivery_Date]]&lt;=Table2[[#This Row],[Planned_Date]],1,0)</f>
        <v>1</v>
      </c>
      <c r="AA208" s="18">
        <f>Table2[[#This Row],[Units_Damaged]]/Table2[[#This Row],[Units_Shipped]]</f>
        <v>1.3333333333333334E-2</v>
      </c>
      <c r="AB208">
        <f t="shared" si="14"/>
        <v>-63842</v>
      </c>
      <c r="AC208" s="17">
        <f t="shared" si="15"/>
        <v>-3.7719038596404159E-2</v>
      </c>
    </row>
    <row r="209" spans="1:29" x14ac:dyDescent="0.25">
      <c r="A209" t="s">
        <v>281</v>
      </c>
      <c r="B209" s="1">
        <v>46325</v>
      </c>
      <c r="C209" s="1">
        <v>46234</v>
      </c>
      <c r="D209" t="s">
        <v>57</v>
      </c>
      <c r="E209" t="s">
        <v>103</v>
      </c>
      <c r="F209" t="s">
        <v>37</v>
      </c>
      <c r="G209" t="s">
        <v>30</v>
      </c>
      <c r="H209" t="s">
        <v>31</v>
      </c>
      <c r="I209" t="s">
        <v>38</v>
      </c>
      <c r="J209" t="s">
        <v>38</v>
      </c>
      <c r="K209" s="14" t="str">
        <f t="shared" si="12"/>
        <v>Kwara → Kano</v>
      </c>
      <c r="L209" t="s">
        <v>41</v>
      </c>
      <c r="M209">
        <v>117</v>
      </c>
      <c r="N209">
        <v>114</v>
      </c>
      <c r="O209">
        <v>3</v>
      </c>
      <c r="P209">
        <v>458</v>
      </c>
      <c r="Q209" s="14" t="str">
        <f t="shared" si="13"/>
        <v>251–500 km</v>
      </c>
      <c r="R209" s="14" t="str">
        <f>IF(Table2[[#This Row],[Distance Bands]]="0–100 km","Short",
IF(Table2[[#This Row],[Distance Bands]]="101–250 km","Medium",
IF(Table2[[#This Row],[Distance Bands]]="251–500 km","Long",
IF(Table2[[#This Row],[Distance Bands]]="501–1,000 km","Very Long",
"Extreme"))))</f>
        <v>Long</v>
      </c>
      <c r="S209" s="13">
        <f>Table2[[#This Row],[Freight_Cost_NGN]]/Table2[[#This Row],[Distance_km]]</f>
        <v>3495.6637554585154</v>
      </c>
      <c r="T209">
        <v>4</v>
      </c>
      <c r="U209">
        <v>4</v>
      </c>
      <c r="V209" s="14">
        <f>Table2[[#This Row],[Actual_Transit_Days]]-Table2[[#This Row],[Planned_Transit_Days]]</f>
        <v>0</v>
      </c>
      <c r="W209">
        <v>1601014</v>
      </c>
      <c r="X209">
        <v>1481750</v>
      </c>
      <c r="Y209" t="s">
        <v>42</v>
      </c>
      <c r="Z209" s="14">
        <f>IF(Table2[[#This Row],[Delivery_Date]]&lt;=Table2[[#This Row],[Planned_Date]],1,0)</f>
        <v>1</v>
      </c>
      <c r="AA209" s="18">
        <f>Table2[[#This Row],[Units_Damaged]]/Table2[[#This Row],[Units_Shipped]]</f>
        <v>2.564102564102564E-2</v>
      </c>
      <c r="AB209">
        <f t="shared" si="14"/>
        <v>119264</v>
      </c>
      <c r="AC209" s="17">
        <f t="shared" si="15"/>
        <v>8.0488611439176655E-2</v>
      </c>
    </row>
    <row r="210" spans="1:29" x14ac:dyDescent="0.25">
      <c r="A210" t="s">
        <v>282</v>
      </c>
      <c r="B210" s="1">
        <v>46326</v>
      </c>
      <c r="C210" s="1">
        <v>46080</v>
      </c>
      <c r="D210" t="s">
        <v>62</v>
      </c>
      <c r="E210" t="s">
        <v>36</v>
      </c>
      <c r="F210" t="s">
        <v>53</v>
      </c>
      <c r="G210" t="s">
        <v>80</v>
      </c>
      <c r="H210" t="s">
        <v>80</v>
      </c>
      <c r="I210" t="s">
        <v>49</v>
      </c>
      <c r="J210" t="s">
        <v>50</v>
      </c>
      <c r="K210" s="14" t="str">
        <f t="shared" si="12"/>
        <v>Enugu → Niger</v>
      </c>
      <c r="L210" t="s">
        <v>60</v>
      </c>
      <c r="M210">
        <v>147</v>
      </c>
      <c r="N210">
        <v>144</v>
      </c>
      <c r="O210">
        <v>3</v>
      </c>
      <c r="P210">
        <v>269</v>
      </c>
      <c r="Q210" s="14" t="str">
        <f t="shared" si="13"/>
        <v>251–500 km</v>
      </c>
      <c r="R210" s="14" t="str">
        <f>IF(Table2[[#This Row],[Distance Bands]]="0–100 km","Short",
IF(Table2[[#This Row],[Distance Bands]]="101–250 km","Medium",
IF(Table2[[#This Row],[Distance Bands]]="251–500 km","Long",
IF(Table2[[#This Row],[Distance Bands]]="501–1,000 km","Very Long",
"Extreme"))))</f>
        <v>Long</v>
      </c>
      <c r="S210" s="13">
        <f>Table2[[#This Row],[Freight_Cost_NGN]]/Table2[[#This Row],[Distance_km]]</f>
        <v>4920.8996282527878</v>
      </c>
      <c r="T210">
        <v>1</v>
      </c>
      <c r="U210">
        <v>3</v>
      </c>
      <c r="V210" s="14">
        <f>Table2[[#This Row],[Actual_Transit_Days]]-Table2[[#This Row],[Planned_Transit_Days]]</f>
        <v>2</v>
      </c>
      <c r="W210">
        <v>1323722</v>
      </c>
      <c r="X210">
        <v>1248571</v>
      </c>
      <c r="Y210" t="s">
        <v>33</v>
      </c>
      <c r="Z210" s="14">
        <f>IF(Table2[[#This Row],[Delivery_Date]]&lt;=Table2[[#This Row],[Planned_Date]],1,0)</f>
        <v>1</v>
      </c>
      <c r="AA210" s="18">
        <f>Table2[[#This Row],[Units_Damaged]]/Table2[[#This Row],[Units_Shipped]]</f>
        <v>2.0408163265306121E-2</v>
      </c>
      <c r="AB210">
        <f t="shared" si="14"/>
        <v>75151</v>
      </c>
      <c r="AC210" s="17">
        <f t="shared" si="15"/>
        <v>6.0189608760735272E-2</v>
      </c>
    </row>
    <row r="211" spans="1:29" x14ac:dyDescent="0.25">
      <c r="A211" t="s">
        <v>283</v>
      </c>
      <c r="B211" s="1">
        <v>46327</v>
      </c>
      <c r="C211" s="1">
        <v>46234</v>
      </c>
      <c r="D211" t="s">
        <v>62</v>
      </c>
      <c r="E211" t="s">
        <v>36</v>
      </c>
      <c r="F211" t="s">
        <v>37</v>
      </c>
      <c r="G211" t="s">
        <v>58</v>
      </c>
      <c r="H211" t="s">
        <v>59</v>
      </c>
      <c r="I211" t="s">
        <v>39</v>
      </c>
      <c r="J211" t="s">
        <v>40</v>
      </c>
      <c r="K211" s="14" t="str">
        <f t="shared" si="12"/>
        <v>Ogun → Anambra</v>
      </c>
      <c r="L211" t="s">
        <v>41</v>
      </c>
      <c r="M211">
        <v>130</v>
      </c>
      <c r="N211">
        <v>123</v>
      </c>
      <c r="O211">
        <v>7</v>
      </c>
      <c r="P211">
        <v>524</v>
      </c>
      <c r="Q211" s="14" t="str">
        <f t="shared" si="13"/>
        <v>501–1,000 km</v>
      </c>
      <c r="R211" s="14" t="str">
        <f>IF(Table2[[#This Row],[Distance Bands]]="0–100 km","Short",
IF(Table2[[#This Row],[Distance Bands]]="101–250 km","Medium",
IF(Table2[[#This Row],[Distance Bands]]="251–500 km","Long",
IF(Table2[[#This Row],[Distance Bands]]="501–1,000 km","Very Long",
"Extreme"))))</f>
        <v>Very Long</v>
      </c>
      <c r="S211" s="13">
        <f>Table2[[#This Row],[Freight_Cost_NGN]]/Table2[[#This Row],[Distance_km]]</f>
        <v>1854.7175572519084</v>
      </c>
      <c r="T211">
        <v>7</v>
      </c>
      <c r="U211">
        <v>7</v>
      </c>
      <c r="V211" s="14">
        <f>Table2[[#This Row],[Actual_Transit_Days]]-Table2[[#This Row],[Planned_Transit_Days]]</f>
        <v>0</v>
      </c>
      <c r="W211">
        <v>971872</v>
      </c>
      <c r="X211">
        <v>1082809</v>
      </c>
      <c r="Y211" t="s">
        <v>42</v>
      </c>
      <c r="Z211" s="14">
        <f>IF(Table2[[#This Row],[Delivery_Date]]&lt;=Table2[[#This Row],[Planned_Date]],1,0)</f>
        <v>1</v>
      </c>
      <c r="AA211" s="18">
        <f>Table2[[#This Row],[Units_Damaged]]/Table2[[#This Row],[Units_Shipped]]</f>
        <v>5.3846153846153849E-2</v>
      </c>
      <c r="AB211">
        <f t="shared" si="14"/>
        <v>-110937</v>
      </c>
      <c r="AC211" s="17">
        <f t="shared" si="15"/>
        <v>-0.10245297185376184</v>
      </c>
    </row>
    <row r="212" spans="1:29" x14ac:dyDescent="0.25">
      <c r="A212" t="s">
        <v>284</v>
      </c>
      <c r="B212" s="1">
        <v>46328</v>
      </c>
      <c r="C212" s="1">
        <v>46127</v>
      </c>
      <c r="D212" t="s">
        <v>35</v>
      </c>
      <c r="E212" t="s">
        <v>45</v>
      </c>
      <c r="F212" t="s">
        <v>63</v>
      </c>
      <c r="G212" t="s">
        <v>73</v>
      </c>
      <c r="H212" t="s">
        <v>74</v>
      </c>
      <c r="I212" t="s">
        <v>49</v>
      </c>
      <c r="J212" t="s">
        <v>50</v>
      </c>
      <c r="K212" s="14" t="str">
        <f t="shared" si="12"/>
        <v>Oyo → Niger</v>
      </c>
      <c r="L212" t="s">
        <v>41</v>
      </c>
      <c r="M212">
        <v>89</v>
      </c>
      <c r="N212">
        <v>89</v>
      </c>
      <c r="O212">
        <v>0</v>
      </c>
      <c r="P212">
        <v>407</v>
      </c>
      <c r="Q212" s="14" t="str">
        <f t="shared" si="13"/>
        <v>251–500 km</v>
      </c>
      <c r="R212" s="14" t="str">
        <f>IF(Table2[[#This Row],[Distance Bands]]="0–100 km","Short",
IF(Table2[[#This Row],[Distance Bands]]="101–250 km","Medium",
IF(Table2[[#This Row],[Distance Bands]]="251–500 km","Long",
IF(Table2[[#This Row],[Distance Bands]]="501–1,000 km","Very Long",
"Extreme"))))</f>
        <v>Long</v>
      </c>
      <c r="S212" s="13">
        <f>Table2[[#This Row],[Freight_Cost_NGN]]/Table2[[#This Row],[Distance_km]]</f>
        <v>3564.6560196560195</v>
      </c>
      <c r="T212">
        <v>3</v>
      </c>
      <c r="U212">
        <v>3</v>
      </c>
      <c r="V212" s="14">
        <f>Table2[[#This Row],[Actual_Transit_Days]]-Table2[[#This Row],[Planned_Transit_Days]]</f>
        <v>0</v>
      </c>
      <c r="W212">
        <v>1450815</v>
      </c>
      <c r="X212">
        <v>1575784</v>
      </c>
      <c r="Y212" t="s">
        <v>42</v>
      </c>
      <c r="Z212" s="14">
        <f>IF(Table2[[#This Row],[Delivery_Date]]&lt;=Table2[[#This Row],[Planned_Date]],1,0)</f>
        <v>1</v>
      </c>
      <c r="AA212" s="18">
        <f>Table2[[#This Row],[Units_Damaged]]/Table2[[#This Row],[Units_Shipped]]</f>
        <v>0</v>
      </c>
      <c r="AB212">
        <f t="shared" si="14"/>
        <v>-124969</v>
      </c>
      <c r="AC212" s="17">
        <f t="shared" si="15"/>
        <v>-7.9305920100724459E-2</v>
      </c>
    </row>
    <row r="213" spans="1:29" x14ac:dyDescent="0.25">
      <c r="A213" t="s">
        <v>285</v>
      </c>
      <c r="B213" s="1">
        <v>46329</v>
      </c>
      <c r="C213" s="1">
        <v>46142</v>
      </c>
      <c r="D213" t="s">
        <v>62</v>
      </c>
      <c r="E213" t="s">
        <v>85</v>
      </c>
      <c r="F213" t="s">
        <v>53</v>
      </c>
      <c r="G213" t="s">
        <v>73</v>
      </c>
      <c r="H213" t="s">
        <v>74</v>
      </c>
      <c r="I213" t="s">
        <v>68</v>
      </c>
      <c r="J213" t="s">
        <v>69</v>
      </c>
      <c r="K213" s="14" t="str">
        <f t="shared" si="12"/>
        <v>Oyo → Abia</v>
      </c>
      <c r="L213" t="s">
        <v>41</v>
      </c>
      <c r="M213">
        <v>21</v>
      </c>
      <c r="N213">
        <v>20</v>
      </c>
      <c r="O213">
        <v>1</v>
      </c>
      <c r="P213">
        <v>123</v>
      </c>
      <c r="Q213" s="14" t="str">
        <f t="shared" si="13"/>
        <v>101–250 km</v>
      </c>
      <c r="R213" s="14" t="str">
        <f>IF(Table2[[#This Row],[Distance Bands]]="0–100 km","Short",
IF(Table2[[#This Row],[Distance Bands]]="101–250 km","Medium",
IF(Table2[[#This Row],[Distance Bands]]="251–500 km","Long",
IF(Table2[[#This Row],[Distance Bands]]="501–1,000 km","Very Long",
"Extreme"))))</f>
        <v>Medium</v>
      </c>
      <c r="S213" s="13">
        <f>Table2[[#This Row],[Freight_Cost_NGN]]/Table2[[#This Row],[Distance_km]]</f>
        <v>1910.0487804878048</v>
      </c>
      <c r="T213">
        <v>5</v>
      </c>
      <c r="U213">
        <v>5</v>
      </c>
      <c r="V213" s="14">
        <f>Table2[[#This Row],[Actual_Transit_Days]]-Table2[[#This Row],[Planned_Transit_Days]]</f>
        <v>0</v>
      </c>
      <c r="W213">
        <v>234936</v>
      </c>
      <c r="X213">
        <v>245433</v>
      </c>
      <c r="Y213" t="s">
        <v>42</v>
      </c>
      <c r="Z213" s="14">
        <f>IF(Table2[[#This Row],[Delivery_Date]]&lt;=Table2[[#This Row],[Planned_Date]],1,0)</f>
        <v>1</v>
      </c>
      <c r="AA213" s="18">
        <f>Table2[[#This Row],[Units_Damaged]]/Table2[[#This Row],[Units_Shipped]]</f>
        <v>4.7619047619047616E-2</v>
      </c>
      <c r="AB213">
        <f t="shared" si="14"/>
        <v>-10497</v>
      </c>
      <c r="AC213" s="17">
        <f t="shared" si="15"/>
        <v>-4.2769309750522545E-2</v>
      </c>
    </row>
    <row r="214" spans="1:29" x14ac:dyDescent="0.25">
      <c r="A214" t="s">
        <v>286</v>
      </c>
      <c r="B214" s="1">
        <v>46330</v>
      </c>
      <c r="C214" s="1">
        <v>46131</v>
      </c>
      <c r="D214" t="s">
        <v>77</v>
      </c>
      <c r="E214" t="s">
        <v>103</v>
      </c>
      <c r="F214" t="s">
        <v>63</v>
      </c>
      <c r="G214" t="s">
        <v>88</v>
      </c>
      <c r="H214" t="s">
        <v>89</v>
      </c>
      <c r="I214" t="s">
        <v>72</v>
      </c>
      <c r="J214" t="s">
        <v>72</v>
      </c>
      <c r="K214" s="14" t="str">
        <f t="shared" si="12"/>
        <v>Edo → Lagos</v>
      </c>
      <c r="L214" t="s">
        <v>41</v>
      </c>
      <c r="M214">
        <v>68</v>
      </c>
      <c r="N214">
        <v>66</v>
      </c>
      <c r="O214">
        <v>2</v>
      </c>
      <c r="P214">
        <v>115</v>
      </c>
      <c r="Q214" s="14" t="str">
        <f t="shared" si="13"/>
        <v>101–250 km</v>
      </c>
      <c r="R214" s="14" t="str">
        <f>IF(Table2[[#This Row],[Distance Bands]]="0–100 km","Short",
IF(Table2[[#This Row],[Distance Bands]]="101–250 km","Medium",
IF(Table2[[#This Row],[Distance Bands]]="251–500 km","Long",
IF(Table2[[#This Row],[Distance Bands]]="501–1,000 km","Very Long",
"Extreme"))))</f>
        <v>Medium</v>
      </c>
      <c r="S214" s="13">
        <f>Table2[[#This Row],[Freight_Cost_NGN]]/Table2[[#This Row],[Distance_km]]</f>
        <v>3837.9565217391305</v>
      </c>
      <c r="T214">
        <v>4</v>
      </c>
      <c r="U214">
        <v>4</v>
      </c>
      <c r="V214" s="14">
        <f>Table2[[#This Row],[Actual_Transit_Days]]-Table2[[#This Row],[Planned_Transit_Days]]</f>
        <v>0</v>
      </c>
      <c r="W214">
        <v>441365</v>
      </c>
      <c r="X214">
        <v>469801</v>
      </c>
      <c r="Y214" t="s">
        <v>42</v>
      </c>
      <c r="Z214" s="14">
        <f>IF(Table2[[#This Row],[Delivery_Date]]&lt;=Table2[[#This Row],[Planned_Date]],1,0)</f>
        <v>1</v>
      </c>
      <c r="AA214" s="18">
        <f>Table2[[#This Row],[Units_Damaged]]/Table2[[#This Row],[Units_Shipped]]</f>
        <v>2.9411764705882353E-2</v>
      </c>
      <c r="AB214">
        <f t="shared" si="14"/>
        <v>-28436</v>
      </c>
      <c r="AC214" s="17">
        <f t="shared" si="15"/>
        <v>-6.0527755368762516E-2</v>
      </c>
    </row>
    <row r="215" spans="1:29" x14ac:dyDescent="0.25">
      <c r="A215" t="s">
        <v>287</v>
      </c>
      <c r="B215" s="1">
        <v>46331</v>
      </c>
      <c r="C215" s="1">
        <v>46262</v>
      </c>
      <c r="D215" t="s">
        <v>44</v>
      </c>
      <c r="E215" t="s">
        <v>45</v>
      </c>
      <c r="F215" t="s">
        <v>37</v>
      </c>
      <c r="G215" t="s">
        <v>91</v>
      </c>
      <c r="H215" t="s">
        <v>92</v>
      </c>
      <c r="I215" t="s">
        <v>80</v>
      </c>
      <c r="J215" t="s">
        <v>80</v>
      </c>
      <c r="K215" s="14" t="str">
        <f t="shared" si="12"/>
        <v>Delta → Enugu</v>
      </c>
      <c r="L215" t="s">
        <v>41</v>
      </c>
      <c r="M215">
        <v>24</v>
      </c>
      <c r="N215">
        <v>23</v>
      </c>
      <c r="O215">
        <v>1</v>
      </c>
      <c r="P215">
        <v>582</v>
      </c>
      <c r="Q215" s="14" t="str">
        <f t="shared" si="13"/>
        <v>501–1,000 km</v>
      </c>
      <c r="R215" s="14" t="str">
        <f>IF(Table2[[#This Row],[Distance Bands]]="0–100 km","Short",
IF(Table2[[#This Row],[Distance Bands]]="101–250 km","Medium",
IF(Table2[[#This Row],[Distance Bands]]="251–500 km","Long",
IF(Table2[[#This Row],[Distance Bands]]="501–1,000 km","Very Long",
"Extreme"))))</f>
        <v>Very Long</v>
      </c>
      <c r="S215" s="13">
        <f>Table2[[#This Row],[Freight_Cost_NGN]]/Table2[[#This Row],[Distance_km]]</f>
        <v>517.93814432989689</v>
      </c>
      <c r="T215">
        <v>2</v>
      </c>
      <c r="U215">
        <v>5</v>
      </c>
      <c r="V215" s="14">
        <f>Table2[[#This Row],[Actual_Transit_Days]]-Table2[[#This Row],[Planned_Transit_Days]]</f>
        <v>3</v>
      </c>
      <c r="W215">
        <v>301440</v>
      </c>
      <c r="X215">
        <v>308246</v>
      </c>
      <c r="Y215" t="s">
        <v>33</v>
      </c>
      <c r="Z215" s="14">
        <f>IF(Table2[[#This Row],[Delivery_Date]]&lt;=Table2[[#This Row],[Planned_Date]],1,0)</f>
        <v>1</v>
      </c>
      <c r="AA215" s="18">
        <f>Table2[[#This Row],[Units_Damaged]]/Table2[[#This Row],[Units_Shipped]]</f>
        <v>4.1666666666666664E-2</v>
      </c>
      <c r="AB215">
        <f t="shared" si="14"/>
        <v>-6806</v>
      </c>
      <c r="AC215" s="17">
        <f t="shared" si="15"/>
        <v>-2.2079767458458504E-2</v>
      </c>
    </row>
    <row r="216" spans="1:29" x14ac:dyDescent="0.25">
      <c r="A216" t="s">
        <v>288</v>
      </c>
      <c r="B216" s="1">
        <v>46332</v>
      </c>
      <c r="C216" s="1">
        <v>46246</v>
      </c>
      <c r="D216" t="s">
        <v>62</v>
      </c>
      <c r="E216" t="s">
        <v>36</v>
      </c>
      <c r="F216" t="s">
        <v>46</v>
      </c>
      <c r="G216" t="s">
        <v>72</v>
      </c>
      <c r="H216" t="s">
        <v>72</v>
      </c>
      <c r="I216" t="s">
        <v>54</v>
      </c>
      <c r="J216" t="s">
        <v>55</v>
      </c>
      <c r="K216" s="14" t="str">
        <f t="shared" si="12"/>
        <v>Lagos → Rivers</v>
      </c>
      <c r="L216" t="s">
        <v>41</v>
      </c>
      <c r="M216">
        <v>86</v>
      </c>
      <c r="N216">
        <v>85</v>
      </c>
      <c r="O216">
        <v>1</v>
      </c>
      <c r="P216">
        <v>628</v>
      </c>
      <c r="Q216" s="14" t="str">
        <f t="shared" si="13"/>
        <v>501–1,000 km</v>
      </c>
      <c r="R216" s="14" t="str">
        <f>IF(Table2[[#This Row],[Distance Bands]]="0–100 km","Short",
IF(Table2[[#This Row],[Distance Bands]]="101–250 km","Medium",
IF(Table2[[#This Row],[Distance Bands]]="251–500 km","Long",
IF(Table2[[#This Row],[Distance Bands]]="501–1,000 km","Very Long",
"Extreme"))))</f>
        <v>Very Long</v>
      </c>
      <c r="S216" s="13">
        <f>Table2[[#This Row],[Freight_Cost_NGN]]/Table2[[#This Row],[Distance_km]]</f>
        <v>1210.0191082802548</v>
      </c>
      <c r="T216">
        <v>3</v>
      </c>
      <c r="U216">
        <v>4</v>
      </c>
      <c r="V216" s="14">
        <f>Table2[[#This Row],[Actual_Transit_Days]]-Table2[[#This Row],[Planned_Transit_Days]]</f>
        <v>1</v>
      </c>
      <c r="W216">
        <v>759892</v>
      </c>
      <c r="X216">
        <v>815292</v>
      </c>
      <c r="Y216" t="s">
        <v>33</v>
      </c>
      <c r="Z216" s="14">
        <f>IF(Table2[[#This Row],[Delivery_Date]]&lt;=Table2[[#This Row],[Planned_Date]],1,0)</f>
        <v>1</v>
      </c>
      <c r="AA216" s="18">
        <f>Table2[[#This Row],[Units_Damaged]]/Table2[[#This Row],[Units_Shipped]]</f>
        <v>1.1627906976744186E-2</v>
      </c>
      <c r="AB216">
        <f t="shared" si="14"/>
        <v>-55400</v>
      </c>
      <c r="AC216" s="17">
        <f t="shared" si="15"/>
        <v>-6.7951114447339117E-2</v>
      </c>
    </row>
    <row r="217" spans="1:29" x14ac:dyDescent="0.25">
      <c r="A217" t="s">
        <v>289</v>
      </c>
      <c r="B217" s="1">
        <v>46333</v>
      </c>
      <c r="C217" s="1">
        <v>46206</v>
      </c>
      <c r="D217" t="s">
        <v>26</v>
      </c>
      <c r="E217" t="s">
        <v>27</v>
      </c>
      <c r="F217" t="s">
        <v>37</v>
      </c>
      <c r="G217" t="s">
        <v>38</v>
      </c>
      <c r="H217" t="s">
        <v>38</v>
      </c>
      <c r="I217" t="s">
        <v>30</v>
      </c>
      <c r="J217" t="s">
        <v>31</v>
      </c>
      <c r="K217" s="14" t="str">
        <f t="shared" si="12"/>
        <v>Kano → Kwara</v>
      </c>
      <c r="L217" t="s">
        <v>32</v>
      </c>
      <c r="M217">
        <v>100</v>
      </c>
      <c r="N217">
        <v>97</v>
      </c>
      <c r="O217">
        <v>3</v>
      </c>
      <c r="P217">
        <v>171</v>
      </c>
      <c r="Q217" s="14" t="str">
        <f t="shared" si="13"/>
        <v>101–250 km</v>
      </c>
      <c r="R217" s="14" t="str">
        <f>IF(Table2[[#This Row],[Distance Bands]]="0–100 km","Short",
IF(Table2[[#This Row],[Distance Bands]]="101–250 km","Medium",
IF(Table2[[#This Row],[Distance Bands]]="251–500 km","Long",
IF(Table2[[#This Row],[Distance Bands]]="501–1,000 km","Very Long",
"Extreme"))))</f>
        <v>Medium</v>
      </c>
      <c r="S217" s="13">
        <f>Table2[[#This Row],[Freight_Cost_NGN]]/Table2[[#This Row],[Distance_km]]</f>
        <v>7602.0643274853801</v>
      </c>
      <c r="T217">
        <v>3</v>
      </c>
      <c r="U217">
        <v>7</v>
      </c>
      <c r="V217" s="14">
        <f>Table2[[#This Row],[Actual_Transit_Days]]-Table2[[#This Row],[Planned_Transit_Days]]</f>
        <v>4</v>
      </c>
      <c r="W217">
        <v>1299953</v>
      </c>
      <c r="X217">
        <v>1262526</v>
      </c>
      <c r="Y217" t="s">
        <v>75</v>
      </c>
      <c r="Z217" s="14">
        <f>IF(Table2[[#This Row],[Delivery_Date]]&lt;=Table2[[#This Row],[Planned_Date]],1,0)</f>
        <v>1</v>
      </c>
      <c r="AA217" s="18">
        <f>Table2[[#This Row],[Units_Damaged]]/Table2[[#This Row],[Units_Shipped]]</f>
        <v>0.03</v>
      </c>
      <c r="AB217">
        <f t="shared" si="14"/>
        <v>37427</v>
      </c>
      <c r="AC217" s="17">
        <f t="shared" si="15"/>
        <v>2.9644538013474574E-2</v>
      </c>
    </row>
    <row r="218" spans="1:29" x14ac:dyDescent="0.25">
      <c r="A218" t="s">
        <v>290</v>
      </c>
      <c r="B218" s="1">
        <v>46334</v>
      </c>
      <c r="C218" s="1">
        <v>46166</v>
      </c>
      <c r="D218" t="s">
        <v>57</v>
      </c>
      <c r="E218" t="s">
        <v>67</v>
      </c>
      <c r="F218" t="s">
        <v>28</v>
      </c>
      <c r="G218" t="s">
        <v>73</v>
      </c>
      <c r="H218" t="s">
        <v>74</v>
      </c>
      <c r="I218" t="s">
        <v>91</v>
      </c>
      <c r="J218" t="s">
        <v>92</v>
      </c>
      <c r="K218" s="14" t="str">
        <f t="shared" si="12"/>
        <v>Oyo → Delta</v>
      </c>
      <c r="L218" t="s">
        <v>41</v>
      </c>
      <c r="M218">
        <v>156</v>
      </c>
      <c r="N218">
        <v>155</v>
      </c>
      <c r="O218">
        <v>1</v>
      </c>
      <c r="P218">
        <v>571</v>
      </c>
      <c r="Q218" s="14" t="str">
        <f t="shared" si="13"/>
        <v>501–1,000 km</v>
      </c>
      <c r="R218" s="14" t="str">
        <f>IF(Table2[[#This Row],[Distance Bands]]="0–100 km","Short",
IF(Table2[[#This Row],[Distance Bands]]="101–250 km","Medium",
IF(Table2[[#This Row],[Distance Bands]]="251–500 km","Long",
IF(Table2[[#This Row],[Distance Bands]]="501–1,000 km","Very Long",
"Extreme"))))</f>
        <v>Very Long</v>
      </c>
      <c r="S218" s="13">
        <f>Table2[[#This Row],[Freight_Cost_NGN]]/Table2[[#This Row],[Distance_km]]</f>
        <v>1854.2994746059544</v>
      </c>
      <c r="T218">
        <v>2</v>
      </c>
      <c r="U218">
        <v>2</v>
      </c>
      <c r="V218" s="14">
        <f>Table2[[#This Row],[Actual_Transit_Days]]-Table2[[#This Row],[Planned_Transit_Days]]</f>
        <v>0</v>
      </c>
      <c r="W218">
        <v>1058805</v>
      </c>
      <c r="X218">
        <v>1176850</v>
      </c>
      <c r="Y218" t="s">
        <v>42</v>
      </c>
      <c r="Z218" s="14">
        <f>IF(Table2[[#This Row],[Delivery_Date]]&lt;=Table2[[#This Row],[Planned_Date]],1,0)</f>
        <v>1</v>
      </c>
      <c r="AA218" s="18">
        <f>Table2[[#This Row],[Units_Damaged]]/Table2[[#This Row],[Units_Shipped]]</f>
        <v>6.41025641025641E-3</v>
      </c>
      <c r="AB218">
        <f t="shared" si="14"/>
        <v>-118045</v>
      </c>
      <c r="AC218" s="17">
        <f t="shared" si="15"/>
        <v>-0.10030590134681565</v>
      </c>
    </row>
    <row r="219" spans="1:29" x14ac:dyDescent="0.25">
      <c r="A219" t="s">
        <v>291</v>
      </c>
      <c r="B219" s="1">
        <v>46335</v>
      </c>
      <c r="C219" s="1">
        <v>46098</v>
      </c>
      <c r="D219" t="s">
        <v>57</v>
      </c>
      <c r="E219" t="s">
        <v>67</v>
      </c>
      <c r="F219" t="s">
        <v>46</v>
      </c>
      <c r="G219" t="s">
        <v>72</v>
      </c>
      <c r="H219" t="s">
        <v>72</v>
      </c>
      <c r="I219" t="s">
        <v>38</v>
      </c>
      <c r="J219" t="s">
        <v>38</v>
      </c>
      <c r="K219" s="14" t="str">
        <f t="shared" si="12"/>
        <v>Lagos → Kano</v>
      </c>
      <c r="L219" t="s">
        <v>32</v>
      </c>
      <c r="M219">
        <v>40</v>
      </c>
      <c r="N219">
        <v>39</v>
      </c>
      <c r="O219">
        <v>1</v>
      </c>
      <c r="P219">
        <v>49</v>
      </c>
      <c r="Q219" s="14" t="str">
        <f t="shared" si="13"/>
        <v>0–100 km</v>
      </c>
      <c r="R219" s="14" t="str">
        <f>IF(Table2[[#This Row],[Distance Bands]]="0–100 km","Short",
IF(Table2[[#This Row],[Distance Bands]]="101–250 km","Medium",
IF(Table2[[#This Row],[Distance Bands]]="251–500 km","Long",
IF(Table2[[#This Row],[Distance Bands]]="501–1,000 km","Very Long",
"Extreme"))))</f>
        <v>Short</v>
      </c>
      <c r="S219" s="13">
        <f>Table2[[#This Row],[Freight_Cost_NGN]]/Table2[[#This Row],[Distance_km]]</f>
        <v>11794.081632653062</v>
      </c>
      <c r="T219">
        <v>1</v>
      </c>
      <c r="U219">
        <v>1</v>
      </c>
      <c r="V219" s="14">
        <f>Table2[[#This Row],[Actual_Transit_Days]]-Table2[[#This Row],[Planned_Transit_Days]]</f>
        <v>0</v>
      </c>
      <c r="W219">
        <v>577910</v>
      </c>
      <c r="X219">
        <v>539655</v>
      </c>
      <c r="Y219" t="s">
        <v>42</v>
      </c>
      <c r="Z219" s="14">
        <f>IF(Table2[[#This Row],[Delivery_Date]]&lt;=Table2[[#This Row],[Planned_Date]],1,0)</f>
        <v>1</v>
      </c>
      <c r="AA219" s="18">
        <f>Table2[[#This Row],[Units_Damaged]]/Table2[[#This Row],[Units_Shipped]]</f>
        <v>2.5000000000000001E-2</v>
      </c>
      <c r="AB219">
        <f t="shared" si="14"/>
        <v>38255</v>
      </c>
      <c r="AC219" s="17">
        <f t="shared" si="15"/>
        <v>7.0887882072805775E-2</v>
      </c>
    </row>
    <row r="220" spans="1:29" x14ac:dyDescent="0.25">
      <c r="A220" t="s">
        <v>292</v>
      </c>
      <c r="B220" s="1">
        <v>46336</v>
      </c>
      <c r="C220" s="1">
        <v>46235</v>
      </c>
      <c r="D220" t="s">
        <v>62</v>
      </c>
      <c r="E220" t="s">
        <v>85</v>
      </c>
      <c r="F220" t="s">
        <v>28</v>
      </c>
      <c r="G220" t="s">
        <v>58</v>
      </c>
      <c r="H220" t="s">
        <v>59</v>
      </c>
      <c r="I220" t="s">
        <v>54</v>
      </c>
      <c r="J220" t="s">
        <v>55</v>
      </c>
      <c r="K220" s="14" t="str">
        <f t="shared" si="12"/>
        <v>Ogun → Rivers</v>
      </c>
      <c r="L220" t="s">
        <v>32</v>
      </c>
      <c r="M220">
        <v>106</v>
      </c>
      <c r="N220">
        <v>103</v>
      </c>
      <c r="O220">
        <v>3</v>
      </c>
      <c r="P220">
        <v>99</v>
      </c>
      <c r="Q220" s="14" t="str">
        <f t="shared" si="13"/>
        <v>0–100 km</v>
      </c>
      <c r="R220" s="14" t="str">
        <f>IF(Table2[[#This Row],[Distance Bands]]="0–100 km","Short",
IF(Table2[[#This Row],[Distance Bands]]="101–250 km","Medium",
IF(Table2[[#This Row],[Distance Bands]]="251–500 km","Long",
IF(Table2[[#This Row],[Distance Bands]]="501–1,000 km","Very Long",
"Extreme"))))</f>
        <v>Short</v>
      </c>
      <c r="S220" s="13">
        <f>Table2[[#This Row],[Freight_Cost_NGN]]/Table2[[#This Row],[Distance_km]]</f>
        <v>8707.424242424242</v>
      </c>
      <c r="T220">
        <v>3</v>
      </c>
      <c r="U220">
        <v>3</v>
      </c>
      <c r="V220" s="14">
        <f>Table2[[#This Row],[Actual_Transit_Days]]-Table2[[#This Row],[Planned_Transit_Days]]</f>
        <v>0</v>
      </c>
      <c r="W220">
        <v>862035</v>
      </c>
      <c r="X220">
        <v>812209</v>
      </c>
      <c r="Y220" t="s">
        <v>42</v>
      </c>
      <c r="Z220" s="14">
        <f>IF(Table2[[#This Row],[Delivery_Date]]&lt;=Table2[[#This Row],[Planned_Date]],1,0)</f>
        <v>1</v>
      </c>
      <c r="AA220" s="18">
        <f>Table2[[#This Row],[Units_Damaged]]/Table2[[#This Row],[Units_Shipped]]</f>
        <v>2.8301886792452831E-2</v>
      </c>
      <c r="AB220">
        <f t="shared" si="14"/>
        <v>49826</v>
      </c>
      <c r="AC220" s="17">
        <f t="shared" si="15"/>
        <v>6.1346279098113909E-2</v>
      </c>
    </row>
    <row r="221" spans="1:29" x14ac:dyDescent="0.25">
      <c r="A221" t="s">
        <v>293</v>
      </c>
      <c r="B221" s="1">
        <v>46337</v>
      </c>
      <c r="C221" s="1">
        <v>46157</v>
      </c>
      <c r="D221" t="s">
        <v>57</v>
      </c>
      <c r="E221" t="s">
        <v>85</v>
      </c>
      <c r="F221" t="s">
        <v>37</v>
      </c>
      <c r="G221" t="s">
        <v>68</v>
      </c>
      <c r="H221" t="s">
        <v>69</v>
      </c>
      <c r="I221" t="s">
        <v>73</v>
      </c>
      <c r="J221" t="s">
        <v>74</v>
      </c>
      <c r="K221" s="14" t="str">
        <f t="shared" si="12"/>
        <v>Abia → Oyo</v>
      </c>
      <c r="L221" t="s">
        <v>41</v>
      </c>
      <c r="M221">
        <v>149</v>
      </c>
      <c r="N221">
        <v>149</v>
      </c>
      <c r="O221">
        <v>0</v>
      </c>
      <c r="P221">
        <v>399</v>
      </c>
      <c r="Q221" s="14" t="str">
        <f t="shared" si="13"/>
        <v>251–500 km</v>
      </c>
      <c r="R221" s="14" t="str">
        <f>IF(Table2[[#This Row],[Distance Bands]]="0–100 km","Short",
IF(Table2[[#This Row],[Distance Bands]]="101–250 km","Medium",
IF(Table2[[#This Row],[Distance Bands]]="251–500 km","Long",
IF(Table2[[#This Row],[Distance Bands]]="501–1,000 km","Very Long",
"Extreme"))))</f>
        <v>Long</v>
      </c>
      <c r="S221" s="13">
        <f>Table2[[#This Row],[Freight_Cost_NGN]]/Table2[[#This Row],[Distance_km]]</f>
        <v>5164.4310776942357</v>
      </c>
      <c r="T221">
        <v>6</v>
      </c>
      <c r="U221">
        <v>8</v>
      </c>
      <c r="V221" s="14">
        <f>Table2[[#This Row],[Actual_Transit_Days]]-Table2[[#This Row],[Planned_Transit_Days]]</f>
        <v>2</v>
      </c>
      <c r="W221">
        <v>2060608</v>
      </c>
      <c r="X221">
        <v>2187164</v>
      </c>
      <c r="Y221" t="s">
        <v>33</v>
      </c>
      <c r="Z221" s="14">
        <f>IF(Table2[[#This Row],[Delivery_Date]]&lt;=Table2[[#This Row],[Planned_Date]],1,0)</f>
        <v>1</v>
      </c>
      <c r="AA221" s="18">
        <f>Table2[[#This Row],[Units_Damaged]]/Table2[[#This Row],[Units_Shipped]]</f>
        <v>0</v>
      </c>
      <c r="AB221">
        <f t="shared" si="14"/>
        <v>-126556</v>
      </c>
      <c r="AC221" s="17">
        <f t="shared" si="15"/>
        <v>-5.7863059194463697E-2</v>
      </c>
    </row>
    <row r="222" spans="1:29" x14ac:dyDescent="0.25">
      <c r="A222" t="s">
        <v>294</v>
      </c>
      <c r="B222" s="1">
        <v>46338</v>
      </c>
      <c r="C222" s="1">
        <v>46261</v>
      </c>
      <c r="D222" t="s">
        <v>35</v>
      </c>
      <c r="E222" t="s">
        <v>57</v>
      </c>
      <c r="F222" t="s">
        <v>28</v>
      </c>
      <c r="G222" t="s">
        <v>91</v>
      </c>
      <c r="H222" t="s">
        <v>92</v>
      </c>
      <c r="I222" t="s">
        <v>68</v>
      </c>
      <c r="J222" t="s">
        <v>69</v>
      </c>
      <c r="K222" s="14" t="str">
        <f t="shared" si="12"/>
        <v>Delta → Abia</v>
      </c>
      <c r="L222" t="s">
        <v>32</v>
      </c>
      <c r="M222">
        <v>17</v>
      </c>
      <c r="N222">
        <v>17</v>
      </c>
      <c r="O222">
        <v>0</v>
      </c>
      <c r="P222">
        <v>557</v>
      </c>
      <c r="Q222" s="14" t="str">
        <f t="shared" si="13"/>
        <v>501–1,000 km</v>
      </c>
      <c r="R222" s="14" t="str">
        <f>IF(Table2[[#This Row],[Distance Bands]]="0–100 km","Short",
IF(Table2[[#This Row],[Distance Bands]]="101–250 km","Medium",
IF(Table2[[#This Row],[Distance Bands]]="251–500 km","Long",
IF(Table2[[#This Row],[Distance Bands]]="501–1,000 km","Very Long",
"Extreme"))))</f>
        <v>Very Long</v>
      </c>
      <c r="S222" s="13">
        <f>Table2[[#This Row],[Freight_Cost_NGN]]/Table2[[#This Row],[Distance_km]]</f>
        <v>570.38420107719924</v>
      </c>
      <c r="T222">
        <v>4</v>
      </c>
      <c r="U222">
        <v>4</v>
      </c>
      <c r="V222" s="14">
        <f>Table2[[#This Row],[Actual_Transit_Days]]-Table2[[#This Row],[Planned_Transit_Days]]</f>
        <v>0</v>
      </c>
      <c r="W222">
        <v>317704</v>
      </c>
      <c r="X222">
        <v>318728</v>
      </c>
      <c r="Y222" t="s">
        <v>42</v>
      </c>
      <c r="Z222" s="14">
        <f>IF(Table2[[#This Row],[Delivery_Date]]&lt;=Table2[[#This Row],[Planned_Date]],1,0)</f>
        <v>1</v>
      </c>
      <c r="AA222" s="18">
        <f>Table2[[#This Row],[Units_Damaged]]/Table2[[#This Row],[Units_Shipped]]</f>
        <v>0</v>
      </c>
      <c r="AB222">
        <f t="shared" si="14"/>
        <v>-1024</v>
      </c>
      <c r="AC222" s="17">
        <f t="shared" si="15"/>
        <v>-3.2127707637860494E-3</v>
      </c>
    </row>
    <row r="223" spans="1:29" x14ac:dyDescent="0.25">
      <c r="A223" t="s">
        <v>295</v>
      </c>
      <c r="B223" s="1">
        <v>46339</v>
      </c>
      <c r="C223" s="1">
        <v>46231</v>
      </c>
      <c r="D223" t="s">
        <v>62</v>
      </c>
      <c r="E223" t="s">
        <v>36</v>
      </c>
      <c r="F223" t="s">
        <v>28</v>
      </c>
      <c r="G223" t="s">
        <v>49</v>
      </c>
      <c r="H223" t="s">
        <v>50</v>
      </c>
      <c r="I223" t="s">
        <v>30</v>
      </c>
      <c r="J223" t="s">
        <v>31</v>
      </c>
      <c r="K223" s="14" t="str">
        <f t="shared" si="12"/>
        <v>Niger → Kwara</v>
      </c>
      <c r="L223" t="s">
        <v>41</v>
      </c>
      <c r="M223">
        <v>118</v>
      </c>
      <c r="N223">
        <v>116</v>
      </c>
      <c r="O223">
        <v>2</v>
      </c>
      <c r="P223">
        <v>38</v>
      </c>
      <c r="Q223" s="14" t="str">
        <f t="shared" si="13"/>
        <v>0–100 km</v>
      </c>
      <c r="R223" s="14" t="str">
        <f>IF(Table2[[#This Row],[Distance Bands]]="0–100 km","Short",
IF(Table2[[#This Row],[Distance Bands]]="101–250 km","Medium",
IF(Table2[[#This Row],[Distance Bands]]="251–500 km","Long",
IF(Table2[[#This Row],[Distance Bands]]="501–1,000 km","Very Long",
"Extreme"))))</f>
        <v>Short</v>
      </c>
      <c r="S223" s="13">
        <f>Table2[[#This Row],[Freight_Cost_NGN]]/Table2[[#This Row],[Distance_km]]</f>
        <v>34843.684210526313</v>
      </c>
      <c r="T223">
        <v>4</v>
      </c>
      <c r="U223">
        <v>5</v>
      </c>
      <c r="V223" s="14">
        <f>Table2[[#This Row],[Actual_Transit_Days]]-Table2[[#This Row],[Planned_Transit_Days]]</f>
        <v>1</v>
      </c>
      <c r="W223">
        <v>1324060</v>
      </c>
      <c r="X223">
        <v>1435952</v>
      </c>
      <c r="Y223" t="s">
        <v>33</v>
      </c>
      <c r="Z223" s="14">
        <f>IF(Table2[[#This Row],[Delivery_Date]]&lt;=Table2[[#This Row],[Planned_Date]],1,0)</f>
        <v>1</v>
      </c>
      <c r="AA223" s="18">
        <f>Table2[[#This Row],[Units_Damaged]]/Table2[[#This Row],[Units_Shipped]]</f>
        <v>1.6949152542372881E-2</v>
      </c>
      <c r="AB223">
        <f t="shared" si="14"/>
        <v>-111892</v>
      </c>
      <c r="AC223" s="17">
        <f t="shared" si="15"/>
        <v>-7.7921824684947683E-2</v>
      </c>
    </row>
    <row r="224" spans="1:29" x14ac:dyDescent="0.25">
      <c r="A224" t="s">
        <v>296</v>
      </c>
      <c r="B224" s="1">
        <v>46340</v>
      </c>
      <c r="C224" s="1">
        <v>46188</v>
      </c>
      <c r="D224" t="s">
        <v>35</v>
      </c>
      <c r="E224" t="s">
        <v>67</v>
      </c>
      <c r="F224" t="s">
        <v>63</v>
      </c>
      <c r="G224" t="s">
        <v>39</v>
      </c>
      <c r="H224" t="s">
        <v>40</v>
      </c>
      <c r="I224" t="s">
        <v>29</v>
      </c>
      <c r="J224" t="s">
        <v>29</v>
      </c>
      <c r="K224" s="14" t="str">
        <f t="shared" si="12"/>
        <v>Anambra → Kaduna</v>
      </c>
      <c r="L224" t="s">
        <v>41</v>
      </c>
      <c r="M224">
        <v>102</v>
      </c>
      <c r="N224">
        <v>98</v>
      </c>
      <c r="O224">
        <v>4</v>
      </c>
      <c r="P224">
        <v>663</v>
      </c>
      <c r="Q224" s="14" t="str">
        <f t="shared" si="13"/>
        <v>501–1,000 km</v>
      </c>
      <c r="R224" s="14" t="str">
        <f>IF(Table2[[#This Row],[Distance Bands]]="0–100 km","Short",
IF(Table2[[#This Row],[Distance Bands]]="101–250 km","Medium",
IF(Table2[[#This Row],[Distance Bands]]="251–500 km","Long",
IF(Table2[[#This Row],[Distance Bands]]="501–1,000 km","Very Long",
"Extreme"))))</f>
        <v>Very Long</v>
      </c>
      <c r="S224" s="13">
        <f>Table2[[#This Row],[Freight_Cost_NGN]]/Table2[[#This Row],[Distance_km]]</f>
        <v>2124.6923076923076</v>
      </c>
      <c r="T224">
        <v>3</v>
      </c>
      <c r="U224">
        <v>3</v>
      </c>
      <c r="V224" s="14">
        <f>Table2[[#This Row],[Actual_Transit_Days]]-Table2[[#This Row],[Planned_Transit_Days]]</f>
        <v>0</v>
      </c>
      <c r="W224">
        <v>1408671</v>
      </c>
      <c r="X224">
        <v>1409360</v>
      </c>
      <c r="Y224" t="s">
        <v>42</v>
      </c>
      <c r="Z224" s="14">
        <f>IF(Table2[[#This Row],[Delivery_Date]]&lt;=Table2[[#This Row],[Planned_Date]],1,0)</f>
        <v>1</v>
      </c>
      <c r="AA224" s="18">
        <f>Table2[[#This Row],[Units_Damaged]]/Table2[[#This Row],[Units_Shipped]]</f>
        <v>3.9215686274509803E-2</v>
      </c>
      <c r="AB224">
        <f t="shared" si="14"/>
        <v>-689</v>
      </c>
      <c r="AC224" s="17">
        <f t="shared" si="15"/>
        <v>-4.888743826985298E-4</v>
      </c>
    </row>
    <row r="225" spans="1:29" x14ac:dyDescent="0.25">
      <c r="A225" t="s">
        <v>297</v>
      </c>
      <c r="B225" s="1">
        <v>46341</v>
      </c>
      <c r="C225" s="1">
        <v>46130</v>
      </c>
      <c r="D225" t="s">
        <v>35</v>
      </c>
      <c r="E225" t="s">
        <v>36</v>
      </c>
      <c r="F225" t="s">
        <v>37</v>
      </c>
      <c r="G225" t="s">
        <v>49</v>
      </c>
      <c r="H225" t="s">
        <v>50</v>
      </c>
      <c r="I225" t="s">
        <v>58</v>
      </c>
      <c r="J225" t="s">
        <v>59</v>
      </c>
      <c r="K225" s="14" t="str">
        <f t="shared" si="12"/>
        <v>Niger → Ogun</v>
      </c>
      <c r="L225" t="s">
        <v>41</v>
      </c>
      <c r="M225">
        <v>92</v>
      </c>
      <c r="N225">
        <v>91</v>
      </c>
      <c r="O225">
        <v>1</v>
      </c>
      <c r="P225">
        <v>842</v>
      </c>
      <c r="Q225" s="14" t="str">
        <f t="shared" si="13"/>
        <v>501–1,000 km</v>
      </c>
      <c r="R225" s="14" t="str">
        <f>IF(Table2[[#This Row],[Distance Bands]]="0–100 km","Short",
IF(Table2[[#This Row],[Distance Bands]]="101–250 km","Medium",
IF(Table2[[#This Row],[Distance Bands]]="251–500 km","Long",
IF(Table2[[#This Row],[Distance Bands]]="501–1,000 km","Very Long",
"Extreme"))))</f>
        <v>Very Long</v>
      </c>
      <c r="S225" s="13">
        <f>Table2[[#This Row],[Freight_Cost_NGN]]/Table2[[#This Row],[Distance_km]]</f>
        <v>1692.3871733966746</v>
      </c>
      <c r="T225">
        <v>4</v>
      </c>
      <c r="U225">
        <v>8</v>
      </c>
      <c r="V225" s="14">
        <f>Table2[[#This Row],[Actual_Transit_Days]]-Table2[[#This Row],[Planned_Transit_Days]]</f>
        <v>4</v>
      </c>
      <c r="W225">
        <v>1424990</v>
      </c>
      <c r="X225">
        <v>1381335</v>
      </c>
      <c r="Y225" t="s">
        <v>75</v>
      </c>
      <c r="Z225" s="14">
        <f>IF(Table2[[#This Row],[Delivery_Date]]&lt;=Table2[[#This Row],[Planned_Date]],1,0)</f>
        <v>1</v>
      </c>
      <c r="AA225" s="18">
        <f>Table2[[#This Row],[Units_Damaged]]/Table2[[#This Row],[Units_Shipped]]</f>
        <v>1.0869565217391304E-2</v>
      </c>
      <c r="AB225">
        <f t="shared" si="14"/>
        <v>43655</v>
      </c>
      <c r="AC225" s="17">
        <f t="shared" si="15"/>
        <v>3.1603485034405125E-2</v>
      </c>
    </row>
    <row r="226" spans="1:29" x14ac:dyDescent="0.25">
      <c r="A226" t="s">
        <v>298</v>
      </c>
      <c r="B226" s="1">
        <v>46342</v>
      </c>
      <c r="C226" s="1">
        <v>46194</v>
      </c>
      <c r="D226" t="s">
        <v>57</v>
      </c>
      <c r="E226" t="s">
        <v>27</v>
      </c>
      <c r="F226" t="s">
        <v>46</v>
      </c>
      <c r="G226" t="s">
        <v>64</v>
      </c>
      <c r="H226" t="s">
        <v>65</v>
      </c>
      <c r="I226" t="s">
        <v>80</v>
      </c>
      <c r="J226" t="s">
        <v>80</v>
      </c>
      <c r="K226" s="14" t="str">
        <f t="shared" si="12"/>
        <v>Plateau → Enugu</v>
      </c>
      <c r="L226" t="s">
        <v>60</v>
      </c>
      <c r="M226">
        <v>147</v>
      </c>
      <c r="N226">
        <v>142</v>
      </c>
      <c r="O226">
        <v>5</v>
      </c>
      <c r="P226">
        <v>843</v>
      </c>
      <c r="Q226" s="14" t="str">
        <f t="shared" si="13"/>
        <v>501–1,000 km</v>
      </c>
      <c r="R226" s="14" t="str">
        <f>IF(Table2[[#This Row],[Distance Bands]]="0–100 km","Short",
IF(Table2[[#This Row],[Distance Bands]]="101–250 km","Medium",
IF(Table2[[#This Row],[Distance Bands]]="251–500 km","Long",
IF(Table2[[#This Row],[Distance Bands]]="501–1,000 km","Very Long",
"Extreme"))))</f>
        <v>Very Long</v>
      </c>
      <c r="S226" s="13">
        <f>Table2[[#This Row],[Freight_Cost_NGN]]/Table2[[#This Row],[Distance_km]]</f>
        <v>2732.0569395017792</v>
      </c>
      <c r="T226">
        <v>3</v>
      </c>
      <c r="U226">
        <v>6</v>
      </c>
      <c r="V226" s="14">
        <f>Table2[[#This Row],[Actual_Transit_Days]]-Table2[[#This Row],[Planned_Transit_Days]]</f>
        <v>3</v>
      </c>
      <c r="W226">
        <v>2303124</v>
      </c>
      <c r="X226">
        <v>2292674</v>
      </c>
      <c r="Y226" t="s">
        <v>33</v>
      </c>
      <c r="Z226" s="14">
        <f>IF(Table2[[#This Row],[Delivery_Date]]&lt;=Table2[[#This Row],[Planned_Date]],1,0)</f>
        <v>1</v>
      </c>
      <c r="AA226" s="18">
        <f>Table2[[#This Row],[Units_Damaged]]/Table2[[#This Row],[Units_Shipped]]</f>
        <v>3.4013605442176874E-2</v>
      </c>
      <c r="AB226">
        <f t="shared" si="14"/>
        <v>10450</v>
      </c>
      <c r="AC226" s="17">
        <f t="shared" si="15"/>
        <v>4.5579964704968957E-3</v>
      </c>
    </row>
    <row r="227" spans="1:29" x14ac:dyDescent="0.25">
      <c r="A227" t="s">
        <v>299</v>
      </c>
      <c r="B227" s="1">
        <v>46343</v>
      </c>
      <c r="C227" s="1">
        <v>46253</v>
      </c>
      <c r="D227" t="s">
        <v>77</v>
      </c>
      <c r="E227" t="s">
        <v>57</v>
      </c>
      <c r="F227" t="s">
        <v>46</v>
      </c>
      <c r="G227" t="s">
        <v>49</v>
      </c>
      <c r="H227" t="s">
        <v>50</v>
      </c>
      <c r="I227" t="s">
        <v>29</v>
      </c>
      <c r="J227" t="s">
        <v>29</v>
      </c>
      <c r="K227" s="14" t="str">
        <f t="shared" si="12"/>
        <v>Niger → Kaduna</v>
      </c>
      <c r="L227" t="s">
        <v>41</v>
      </c>
      <c r="M227">
        <v>124</v>
      </c>
      <c r="N227">
        <v>123</v>
      </c>
      <c r="O227">
        <v>1</v>
      </c>
      <c r="P227">
        <v>199</v>
      </c>
      <c r="Q227" s="14" t="str">
        <f t="shared" si="13"/>
        <v>101–250 km</v>
      </c>
      <c r="R227" s="14" t="str">
        <f>IF(Table2[[#This Row],[Distance Bands]]="0–100 km","Short",
IF(Table2[[#This Row],[Distance Bands]]="101–250 km","Medium",
IF(Table2[[#This Row],[Distance Bands]]="251–500 km","Long",
IF(Table2[[#This Row],[Distance Bands]]="501–1,000 km","Very Long",
"Extreme"))))</f>
        <v>Medium</v>
      </c>
      <c r="S227" s="13">
        <f>Table2[[#This Row],[Freight_Cost_NGN]]/Table2[[#This Row],[Distance_km]]</f>
        <v>5723.3668341708544</v>
      </c>
      <c r="T227">
        <v>4</v>
      </c>
      <c r="U227">
        <v>9</v>
      </c>
      <c r="V227" s="14">
        <f>Table2[[#This Row],[Actual_Transit_Days]]-Table2[[#This Row],[Planned_Transit_Days]]</f>
        <v>5</v>
      </c>
      <c r="W227">
        <v>1138950</v>
      </c>
      <c r="X227">
        <v>1247266</v>
      </c>
      <c r="Y227" t="s">
        <v>75</v>
      </c>
      <c r="Z227" s="14">
        <f>IF(Table2[[#This Row],[Delivery_Date]]&lt;=Table2[[#This Row],[Planned_Date]],1,0)</f>
        <v>1</v>
      </c>
      <c r="AA227" s="18">
        <f>Table2[[#This Row],[Units_Damaged]]/Table2[[#This Row],[Units_Shipped]]</f>
        <v>8.0645161290322578E-3</v>
      </c>
      <c r="AB227">
        <f t="shared" si="14"/>
        <v>-108316</v>
      </c>
      <c r="AC227" s="17">
        <f t="shared" si="15"/>
        <v>-8.6842742446278501E-2</v>
      </c>
    </row>
    <row r="228" spans="1:29" x14ac:dyDescent="0.25">
      <c r="A228" t="s">
        <v>300</v>
      </c>
      <c r="B228" s="1">
        <v>46344</v>
      </c>
      <c r="C228" s="1">
        <v>46052</v>
      </c>
      <c r="D228" t="s">
        <v>57</v>
      </c>
      <c r="E228" t="s">
        <v>57</v>
      </c>
      <c r="F228" t="s">
        <v>28</v>
      </c>
      <c r="G228" t="s">
        <v>54</v>
      </c>
      <c r="H228" t="s">
        <v>55</v>
      </c>
      <c r="I228" t="s">
        <v>64</v>
      </c>
      <c r="J228" t="s">
        <v>65</v>
      </c>
      <c r="K228" s="14" t="str">
        <f t="shared" si="12"/>
        <v>Rivers → Plateau</v>
      </c>
      <c r="L228" t="s">
        <v>32</v>
      </c>
      <c r="M228">
        <v>41</v>
      </c>
      <c r="N228">
        <v>41</v>
      </c>
      <c r="O228">
        <v>0</v>
      </c>
      <c r="P228">
        <v>834</v>
      </c>
      <c r="Q228" s="14" t="str">
        <f t="shared" si="13"/>
        <v>501–1,000 km</v>
      </c>
      <c r="R228" s="14" t="str">
        <f>IF(Table2[[#This Row],[Distance Bands]]="0–100 km","Short",
IF(Table2[[#This Row],[Distance Bands]]="101–250 km","Medium",
IF(Table2[[#This Row],[Distance Bands]]="251–500 km","Long",
IF(Table2[[#This Row],[Distance Bands]]="501–1,000 km","Very Long",
"Extreme"))))</f>
        <v>Very Long</v>
      </c>
      <c r="S228" s="13">
        <f>Table2[[#This Row],[Freight_Cost_NGN]]/Table2[[#This Row],[Distance_km]]</f>
        <v>729.47961630695443</v>
      </c>
      <c r="T228">
        <v>4</v>
      </c>
      <c r="U228">
        <v>5</v>
      </c>
      <c r="V228" s="14">
        <f>Table2[[#This Row],[Actual_Transit_Days]]-Table2[[#This Row],[Planned_Transit_Days]]</f>
        <v>1</v>
      </c>
      <c r="W228">
        <v>608386</v>
      </c>
      <c r="X228">
        <v>606575</v>
      </c>
      <c r="Y228" t="s">
        <v>33</v>
      </c>
      <c r="Z228" s="14">
        <f>IF(Table2[[#This Row],[Delivery_Date]]&lt;=Table2[[#This Row],[Planned_Date]],1,0)</f>
        <v>1</v>
      </c>
      <c r="AA228" s="18">
        <f>Table2[[#This Row],[Units_Damaged]]/Table2[[#This Row],[Units_Shipped]]</f>
        <v>0</v>
      </c>
      <c r="AB228">
        <f t="shared" si="14"/>
        <v>1811</v>
      </c>
      <c r="AC228" s="17">
        <f t="shared" si="15"/>
        <v>2.985615958455261E-3</v>
      </c>
    </row>
    <row r="229" spans="1:29" x14ac:dyDescent="0.25">
      <c r="A229" t="s">
        <v>301</v>
      </c>
      <c r="B229" s="1">
        <v>46345</v>
      </c>
      <c r="C229" s="1">
        <v>46267</v>
      </c>
      <c r="D229" t="s">
        <v>26</v>
      </c>
      <c r="E229" t="s">
        <v>52</v>
      </c>
      <c r="F229" t="s">
        <v>53</v>
      </c>
      <c r="G229" t="s">
        <v>54</v>
      </c>
      <c r="H229" t="s">
        <v>55</v>
      </c>
      <c r="I229" t="s">
        <v>73</v>
      </c>
      <c r="J229" t="s">
        <v>74</v>
      </c>
      <c r="K229" s="14" t="str">
        <f t="shared" si="12"/>
        <v>Rivers → Oyo</v>
      </c>
      <c r="L229" t="s">
        <v>41</v>
      </c>
      <c r="M229">
        <v>17</v>
      </c>
      <c r="N229">
        <v>17</v>
      </c>
      <c r="O229">
        <v>0</v>
      </c>
      <c r="P229">
        <v>234</v>
      </c>
      <c r="Q229" s="14" t="str">
        <f t="shared" si="13"/>
        <v>101–250 km</v>
      </c>
      <c r="R229" s="14" t="str">
        <f>IF(Table2[[#This Row],[Distance Bands]]="0–100 km","Short",
IF(Table2[[#This Row],[Distance Bands]]="101–250 km","Medium",
IF(Table2[[#This Row],[Distance Bands]]="251–500 km","Long",
IF(Table2[[#This Row],[Distance Bands]]="501–1,000 km","Very Long",
"Extreme"))))</f>
        <v>Medium</v>
      </c>
      <c r="S229" s="13">
        <f>Table2[[#This Row],[Freight_Cost_NGN]]/Table2[[#This Row],[Distance_km]]</f>
        <v>1199.8376068376069</v>
      </c>
      <c r="T229">
        <v>1</v>
      </c>
      <c r="U229">
        <v>5</v>
      </c>
      <c r="V229" s="14">
        <f>Table2[[#This Row],[Actual_Transit_Days]]-Table2[[#This Row],[Planned_Transit_Days]]</f>
        <v>4</v>
      </c>
      <c r="W229">
        <v>280762</v>
      </c>
      <c r="X229">
        <v>306050</v>
      </c>
      <c r="Y229" t="s">
        <v>75</v>
      </c>
      <c r="Z229" s="14">
        <f>IF(Table2[[#This Row],[Delivery_Date]]&lt;=Table2[[#This Row],[Planned_Date]],1,0)</f>
        <v>1</v>
      </c>
      <c r="AA229" s="18">
        <f>Table2[[#This Row],[Units_Damaged]]/Table2[[#This Row],[Units_Shipped]]</f>
        <v>0</v>
      </c>
      <c r="AB229">
        <f t="shared" si="14"/>
        <v>-25288</v>
      </c>
      <c r="AC229" s="17">
        <f t="shared" si="15"/>
        <v>-8.2627021728475733E-2</v>
      </c>
    </row>
    <row r="230" spans="1:29" x14ac:dyDescent="0.25">
      <c r="A230" t="s">
        <v>302</v>
      </c>
      <c r="B230" s="1">
        <v>46346</v>
      </c>
      <c r="C230" s="1">
        <v>46200</v>
      </c>
      <c r="D230" t="s">
        <v>77</v>
      </c>
      <c r="E230" t="s">
        <v>85</v>
      </c>
      <c r="F230" t="s">
        <v>46</v>
      </c>
      <c r="G230" t="s">
        <v>68</v>
      </c>
      <c r="H230" t="s">
        <v>69</v>
      </c>
      <c r="I230" t="s">
        <v>29</v>
      </c>
      <c r="J230" t="s">
        <v>29</v>
      </c>
      <c r="K230" s="14" t="str">
        <f t="shared" si="12"/>
        <v>Abia → Kaduna</v>
      </c>
      <c r="L230" t="s">
        <v>41</v>
      </c>
      <c r="M230">
        <v>12</v>
      </c>
      <c r="N230">
        <v>12</v>
      </c>
      <c r="O230">
        <v>0</v>
      </c>
      <c r="P230">
        <v>287</v>
      </c>
      <c r="Q230" s="14" t="str">
        <f t="shared" si="13"/>
        <v>251–500 km</v>
      </c>
      <c r="R230" s="14" t="str">
        <f>IF(Table2[[#This Row],[Distance Bands]]="0–100 km","Short",
IF(Table2[[#This Row],[Distance Bands]]="101–250 km","Medium",
IF(Table2[[#This Row],[Distance Bands]]="251–500 km","Long",
IF(Table2[[#This Row],[Distance Bands]]="501–1,000 km","Very Long",
"Extreme"))))</f>
        <v>Long</v>
      </c>
      <c r="S230" s="13">
        <f>Table2[[#This Row],[Freight_Cost_NGN]]/Table2[[#This Row],[Distance_km]]</f>
        <v>664.94425087108016</v>
      </c>
      <c r="T230">
        <v>1</v>
      </c>
      <c r="U230">
        <v>1</v>
      </c>
      <c r="V230" s="14">
        <f>Table2[[#This Row],[Actual_Transit_Days]]-Table2[[#This Row],[Planned_Transit_Days]]</f>
        <v>0</v>
      </c>
      <c r="W230">
        <v>190839</v>
      </c>
      <c r="X230">
        <v>212769</v>
      </c>
      <c r="Y230" t="s">
        <v>42</v>
      </c>
      <c r="Z230" s="14">
        <f>IF(Table2[[#This Row],[Delivery_Date]]&lt;=Table2[[#This Row],[Planned_Date]],1,0)</f>
        <v>1</v>
      </c>
      <c r="AA230" s="18">
        <f>Table2[[#This Row],[Units_Damaged]]/Table2[[#This Row],[Units_Shipped]]</f>
        <v>0</v>
      </c>
      <c r="AB230">
        <f t="shared" si="14"/>
        <v>-21930</v>
      </c>
      <c r="AC230" s="17">
        <f t="shared" si="15"/>
        <v>-0.10306952610577669</v>
      </c>
    </row>
    <row r="231" spans="1:29" x14ac:dyDescent="0.25">
      <c r="A231" t="s">
        <v>303</v>
      </c>
      <c r="B231" s="1">
        <v>46347</v>
      </c>
      <c r="C231" s="1">
        <v>46264</v>
      </c>
      <c r="D231" t="s">
        <v>77</v>
      </c>
      <c r="E231" t="s">
        <v>103</v>
      </c>
      <c r="F231" t="s">
        <v>28</v>
      </c>
      <c r="G231" t="s">
        <v>30</v>
      </c>
      <c r="H231" t="s">
        <v>31</v>
      </c>
      <c r="I231" t="s">
        <v>88</v>
      </c>
      <c r="J231" t="s">
        <v>89</v>
      </c>
      <c r="K231" s="14" t="str">
        <f t="shared" si="12"/>
        <v>Kwara → Edo</v>
      </c>
      <c r="L231" t="s">
        <v>41</v>
      </c>
      <c r="M231">
        <v>122</v>
      </c>
      <c r="N231">
        <v>122</v>
      </c>
      <c r="O231">
        <v>0</v>
      </c>
      <c r="P231">
        <v>78</v>
      </c>
      <c r="Q231" s="14" t="str">
        <f t="shared" si="13"/>
        <v>0–100 km</v>
      </c>
      <c r="R231" s="14" t="str">
        <f>IF(Table2[[#This Row],[Distance Bands]]="0–100 km","Short",
IF(Table2[[#This Row],[Distance Bands]]="101–250 km","Medium",
IF(Table2[[#This Row],[Distance Bands]]="251–500 km","Long",
IF(Table2[[#This Row],[Distance Bands]]="501–1,000 km","Very Long",
"Extreme"))))</f>
        <v>Short</v>
      </c>
      <c r="S231" s="13">
        <f>Table2[[#This Row],[Freight_Cost_NGN]]/Table2[[#This Row],[Distance_km]]</f>
        <v>9857.2051282051289</v>
      </c>
      <c r="T231">
        <v>3</v>
      </c>
      <c r="U231">
        <v>3</v>
      </c>
      <c r="V231" s="14">
        <f>Table2[[#This Row],[Actual_Transit_Days]]-Table2[[#This Row],[Planned_Transit_Days]]</f>
        <v>0</v>
      </c>
      <c r="W231">
        <v>768862</v>
      </c>
      <c r="X231">
        <v>748501</v>
      </c>
      <c r="Y231" t="s">
        <v>42</v>
      </c>
      <c r="Z231" s="14">
        <f>IF(Table2[[#This Row],[Delivery_Date]]&lt;=Table2[[#This Row],[Planned_Date]],1,0)</f>
        <v>1</v>
      </c>
      <c r="AA231" s="18">
        <f>Table2[[#This Row],[Units_Damaged]]/Table2[[#This Row],[Units_Shipped]]</f>
        <v>0</v>
      </c>
      <c r="AB231">
        <f t="shared" si="14"/>
        <v>20361</v>
      </c>
      <c r="AC231" s="17">
        <f t="shared" si="15"/>
        <v>2.7202368467109595E-2</v>
      </c>
    </row>
    <row r="232" spans="1:29" x14ac:dyDescent="0.25">
      <c r="A232" t="s">
        <v>304</v>
      </c>
      <c r="B232" s="1">
        <v>46348</v>
      </c>
      <c r="C232" s="1">
        <v>46161</v>
      </c>
      <c r="D232" t="s">
        <v>77</v>
      </c>
      <c r="E232" t="s">
        <v>57</v>
      </c>
      <c r="F232" t="s">
        <v>53</v>
      </c>
      <c r="G232" t="s">
        <v>73</v>
      </c>
      <c r="H232" t="s">
        <v>74</v>
      </c>
      <c r="I232" t="s">
        <v>64</v>
      </c>
      <c r="J232" t="s">
        <v>65</v>
      </c>
      <c r="K232" s="14" t="str">
        <f t="shared" si="12"/>
        <v>Oyo → Plateau</v>
      </c>
      <c r="L232" t="s">
        <v>32</v>
      </c>
      <c r="M232">
        <v>120</v>
      </c>
      <c r="N232">
        <v>120</v>
      </c>
      <c r="O232">
        <v>0</v>
      </c>
      <c r="P232">
        <v>560</v>
      </c>
      <c r="Q232" s="14" t="str">
        <f t="shared" si="13"/>
        <v>501–1,000 km</v>
      </c>
      <c r="R232" s="14" t="str">
        <f>IF(Table2[[#This Row],[Distance Bands]]="0–100 km","Short",
IF(Table2[[#This Row],[Distance Bands]]="101–250 km","Medium",
IF(Table2[[#This Row],[Distance Bands]]="251–500 km","Long",
IF(Table2[[#This Row],[Distance Bands]]="501–1,000 km","Very Long",
"Extreme"))))</f>
        <v>Very Long</v>
      </c>
      <c r="S232" s="13">
        <f>Table2[[#This Row],[Freight_Cost_NGN]]/Table2[[#This Row],[Distance_km]]</f>
        <v>3405.0714285714284</v>
      </c>
      <c r="T232">
        <v>3</v>
      </c>
      <c r="U232">
        <v>4</v>
      </c>
      <c r="V232" s="14">
        <f>Table2[[#This Row],[Actual_Transit_Days]]-Table2[[#This Row],[Planned_Transit_Days]]</f>
        <v>1</v>
      </c>
      <c r="W232">
        <v>1906840</v>
      </c>
      <c r="X232">
        <v>1952235</v>
      </c>
      <c r="Y232" t="s">
        <v>33</v>
      </c>
      <c r="Z232" s="14">
        <f>IF(Table2[[#This Row],[Delivery_Date]]&lt;=Table2[[#This Row],[Planned_Date]],1,0)</f>
        <v>1</v>
      </c>
      <c r="AA232" s="18">
        <f>Table2[[#This Row],[Units_Damaged]]/Table2[[#This Row],[Units_Shipped]]</f>
        <v>0</v>
      </c>
      <c r="AB232">
        <f t="shared" si="14"/>
        <v>-45395</v>
      </c>
      <c r="AC232" s="17">
        <f t="shared" si="15"/>
        <v>-2.3252835852241149E-2</v>
      </c>
    </row>
    <row r="233" spans="1:29" x14ac:dyDescent="0.25">
      <c r="A233" t="s">
        <v>305</v>
      </c>
      <c r="B233" s="1">
        <v>46349</v>
      </c>
      <c r="C233" s="1">
        <v>46136</v>
      </c>
      <c r="D233" t="s">
        <v>26</v>
      </c>
      <c r="E233" t="s">
        <v>45</v>
      </c>
      <c r="F233" t="s">
        <v>37</v>
      </c>
      <c r="G233" t="s">
        <v>47</v>
      </c>
      <c r="H233" t="s">
        <v>48</v>
      </c>
      <c r="I233" t="s">
        <v>72</v>
      </c>
      <c r="J233" t="s">
        <v>72</v>
      </c>
      <c r="K233" s="14" t="str">
        <f t="shared" si="12"/>
        <v>Cross River → Lagos</v>
      </c>
      <c r="L233" t="s">
        <v>41</v>
      </c>
      <c r="M233">
        <v>138</v>
      </c>
      <c r="N233">
        <v>135</v>
      </c>
      <c r="O233">
        <v>3</v>
      </c>
      <c r="P233">
        <v>415</v>
      </c>
      <c r="Q233" s="14" t="str">
        <f t="shared" si="13"/>
        <v>251–500 km</v>
      </c>
      <c r="R233" s="14" t="str">
        <f>IF(Table2[[#This Row],[Distance Bands]]="0–100 km","Short",
IF(Table2[[#This Row],[Distance Bands]]="101–250 km","Medium",
IF(Table2[[#This Row],[Distance Bands]]="251–500 km","Long",
IF(Table2[[#This Row],[Distance Bands]]="501–1,000 km","Very Long",
"Extreme"))))</f>
        <v>Long</v>
      </c>
      <c r="S233" s="13">
        <f>Table2[[#This Row],[Freight_Cost_NGN]]/Table2[[#This Row],[Distance_km]]</f>
        <v>3220.4554216867468</v>
      </c>
      <c r="T233">
        <v>2</v>
      </c>
      <c r="U233">
        <v>6</v>
      </c>
      <c r="V233" s="14">
        <f>Table2[[#This Row],[Actual_Transit_Days]]-Table2[[#This Row],[Planned_Transit_Days]]</f>
        <v>4</v>
      </c>
      <c r="W233">
        <v>1336489</v>
      </c>
      <c r="X233">
        <v>1307970</v>
      </c>
      <c r="Y233" t="s">
        <v>75</v>
      </c>
      <c r="Z233" s="14">
        <f>IF(Table2[[#This Row],[Delivery_Date]]&lt;=Table2[[#This Row],[Planned_Date]],1,0)</f>
        <v>1</v>
      </c>
      <c r="AA233" s="18">
        <f>Table2[[#This Row],[Units_Damaged]]/Table2[[#This Row],[Units_Shipped]]</f>
        <v>2.1739130434782608E-2</v>
      </c>
      <c r="AB233">
        <f t="shared" si="14"/>
        <v>28519</v>
      </c>
      <c r="AC233" s="17">
        <f t="shared" si="15"/>
        <v>2.1804016911702868E-2</v>
      </c>
    </row>
    <row r="234" spans="1:29" x14ac:dyDescent="0.25">
      <c r="A234" t="s">
        <v>306</v>
      </c>
      <c r="B234" s="1">
        <v>46350</v>
      </c>
      <c r="C234" s="1">
        <v>46242</v>
      </c>
      <c r="D234" t="s">
        <v>44</v>
      </c>
      <c r="E234" t="s">
        <v>67</v>
      </c>
      <c r="F234" t="s">
        <v>53</v>
      </c>
      <c r="G234" t="s">
        <v>88</v>
      </c>
      <c r="H234" t="s">
        <v>89</v>
      </c>
      <c r="I234" t="s">
        <v>30</v>
      </c>
      <c r="J234" t="s">
        <v>31</v>
      </c>
      <c r="K234" s="14" t="str">
        <f t="shared" si="12"/>
        <v>Edo → Kwara</v>
      </c>
      <c r="L234" t="s">
        <v>41</v>
      </c>
      <c r="M234">
        <v>79</v>
      </c>
      <c r="N234">
        <v>76</v>
      </c>
      <c r="O234">
        <v>3</v>
      </c>
      <c r="P234">
        <v>800</v>
      </c>
      <c r="Q234" s="14" t="str">
        <f t="shared" si="13"/>
        <v>501–1,000 km</v>
      </c>
      <c r="R234" s="14" t="str">
        <f>IF(Table2[[#This Row],[Distance Bands]]="0–100 km","Short",
IF(Table2[[#This Row],[Distance Bands]]="101–250 km","Medium",
IF(Table2[[#This Row],[Distance Bands]]="251–500 km","Long",
IF(Table2[[#This Row],[Distance Bands]]="501–1,000 km","Very Long",
"Extreme"))))</f>
        <v>Very Long</v>
      </c>
      <c r="S234" s="13">
        <f>Table2[[#This Row],[Freight_Cost_NGN]]/Table2[[#This Row],[Distance_km]]</f>
        <v>1569.83125</v>
      </c>
      <c r="T234">
        <v>7</v>
      </c>
      <c r="U234">
        <v>11</v>
      </c>
      <c r="V234" s="14">
        <f>Table2[[#This Row],[Actual_Transit_Days]]-Table2[[#This Row],[Planned_Transit_Days]]</f>
        <v>4</v>
      </c>
      <c r="W234">
        <v>1255865</v>
      </c>
      <c r="X234">
        <v>1171896</v>
      </c>
      <c r="Y234" t="s">
        <v>75</v>
      </c>
      <c r="Z234" s="14">
        <f>IF(Table2[[#This Row],[Delivery_Date]]&lt;=Table2[[#This Row],[Planned_Date]],1,0)</f>
        <v>1</v>
      </c>
      <c r="AA234" s="18">
        <f>Table2[[#This Row],[Units_Damaged]]/Table2[[#This Row],[Units_Shipped]]</f>
        <v>3.7974683544303799E-2</v>
      </c>
      <c r="AB234">
        <f t="shared" si="14"/>
        <v>83969</v>
      </c>
      <c r="AC234" s="17">
        <f t="shared" si="15"/>
        <v>7.1652262658119831E-2</v>
      </c>
    </row>
    <row r="235" spans="1:29" x14ac:dyDescent="0.25">
      <c r="A235" t="s">
        <v>307</v>
      </c>
      <c r="B235" s="1">
        <v>46351</v>
      </c>
      <c r="C235" s="1">
        <v>46154</v>
      </c>
      <c r="D235" t="s">
        <v>77</v>
      </c>
      <c r="E235" t="s">
        <v>103</v>
      </c>
      <c r="F235" t="s">
        <v>46</v>
      </c>
      <c r="G235" t="s">
        <v>68</v>
      </c>
      <c r="H235" t="s">
        <v>69</v>
      </c>
      <c r="I235" t="s">
        <v>47</v>
      </c>
      <c r="J235" t="s">
        <v>48</v>
      </c>
      <c r="K235" s="14" t="str">
        <f t="shared" si="12"/>
        <v>Abia → Cross River</v>
      </c>
      <c r="L235" t="s">
        <v>60</v>
      </c>
      <c r="M235">
        <v>94</v>
      </c>
      <c r="N235">
        <v>92</v>
      </c>
      <c r="O235">
        <v>2</v>
      </c>
      <c r="P235">
        <v>128</v>
      </c>
      <c r="Q235" s="14" t="str">
        <f t="shared" si="13"/>
        <v>101–250 km</v>
      </c>
      <c r="R235" s="14" t="str">
        <f>IF(Table2[[#This Row],[Distance Bands]]="0–100 km","Short",
IF(Table2[[#This Row],[Distance Bands]]="101–250 km","Medium",
IF(Table2[[#This Row],[Distance Bands]]="251–500 km","Long",
IF(Table2[[#This Row],[Distance Bands]]="501–1,000 km","Very Long",
"Extreme"))))</f>
        <v>Medium</v>
      </c>
      <c r="S235" s="13">
        <f>Table2[[#This Row],[Freight_Cost_NGN]]/Table2[[#This Row],[Distance_km]]</f>
        <v>9876.5625</v>
      </c>
      <c r="T235">
        <v>4</v>
      </c>
      <c r="U235">
        <v>4</v>
      </c>
      <c r="V235" s="14">
        <f>Table2[[#This Row],[Actual_Transit_Days]]-Table2[[#This Row],[Planned_Transit_Days]]</f>
        <v>0</v>
      </c>
      <c r="W235">
        <v>1264200</v>
      </c>
      <c r="X235">
        <v>1361591</v>
      </c>
      <c r="Y235" t="s">
        <v>42</v>
      </c>
      <c r="Z235" s="14">
        <f>IF(Table2[[#This Row],[Delivery_Date]]&lt;=Table2[[#This Row],[Planned_Date]],1,0)</f>
        <v>1</v>
      </c>
      <c r="AA235" s="18">
        <f>Table2[[#This Row],[Units_Damaged]]/Table2[[#This Row],[Units_Shipped]]</f>
        <v>2.1276595744680851E-2</v>
      </c>
      <c r="AB235">
        <f t="shared" si="14"/>
        <v>-97391</v>
      </c>
      <c r="AC235" s="17">
        <f t="shared" si="15"/>
        <v>-7.1527352927567817E-2</v>
      </c>
    </row>
    <row r="236" spans="1:29" x14ac:dyDescent="0.25">
      <c r="A236" t="s">
        <v>308</v>
      </c>
      <c r="B236" s="1">
        <v>46352</v>
      </c>
      <c r="C236" s="1">
        <v>46118</v>
      </c>
      <c r="D236" t="s">
        <v>77</v>
      </c>
      <c r="E236" t="s">
        <v>57</v>
      </c>
      <c r="F236" t="s">
        <v>53</v>
      </c>
      <c r="G236" t="s">
        <v>72</v>
      </c>
      <c r="H236" t="s">
        <v>72</v>
      </c>
      <c r="I236" t="s">
        <v>80</v>
      </c>
      <c r="J236" t="s">
        <v>80</v>
      </c>
      <c r="K236" s="14" t="str">
        <f t="shared" si="12"/>
        <v>Lagos → Enugu</v>
      </c>
      <c r="L236" t="s">
        <v>32</v>
      </c>
      <c r="M236">
        <v>30</v>
      </c>
      <c r="N236">
        <v>29</v>
      </c>
      <c r="O236">
        <v>1</v>
      </c>
      <c r="P236">
        <v>49</v>
      </c>
      <c r="Q236" s="14" t="str">
        <f t="shared" si="13"/>
        <v>0–100 km</v>
      </c>
      <c r="R236" s="14" t="str">
        <f>IF(Table2[[#This Row],[Distance Bands]]="0–100 km","Short",
IF(Table2[[#This Row],[Distance Bands]]="101–250 km","Medium",
IF(Table2[[#This Row],[Distance Bands]]="251–500 km","Long",
IF(Table2[[#This Row],[Distance Bands]]="501–1,000 km","Very Long",
"Extreme"))))</f>
        <v>Short</v>
      </c>
      <c r="S236" s="13">
        <f>Table2[[#This Row],[Freight_Cost_NGN]]/Table2[[#This Row],[Distance_km]]</f>
        <v>7815.3469387755104</v>
      </c>
      <c r="T236">
        <v>2</v>
      </c>
      <c r="U236">
        <v>2</v>
      </c>
      <c r="V236" s="14">
        <f>Table2[[#This Row],[Actual_Transit_Days]]-Table2[[#This Row],[Planned_Transit_Days]]</f>
        <v>0</v>
      </c>
      <c r="W236">
        <v>382952</v>
      </c>
      <c r="X236">
        <v>363571</v>
      </c>
      <c r="Y236" t="s">
        <v>42</v>
      </c>
      <c r="Z236" s="14">
        <f>IF(Table2[[#This Row],[Delivery_Date]]&lt;=Table2[[#This Row],[Planned_Date]],1,0)</f>
        <v>1</v>
      </c>
      <c r="AA236" s="18">
        <f>Table2[[#This Row],[Units_Damaged]]/Table2[[#This Row],[Units_Shipped]]</f>
        <v>3.3333333333333333E-2</v>
      </c>
      <c r="AB236">
        <f t="shared" si="14"/>
        <v>19381</v>
      </c>
      <c r="AC236" s="17">
        <f t="shared" si="15"/>
        <v>5.3307331992925727E-2</v>
      </c>
    </row>
    <row r="237" spans="1:29" x14ac:dyDescent="0.25">
      <c r="A237" t="s">
        <v>309</v>
      </c>
      <c r="B237" s="1">
        <v>46353</v>
      </c>
      <c r="C237" s="1">
        <v>46082</v>
      </c>
      <c r="D237" t="s">
        <v>44</v>
      </c>
      <c r="E237" t="s">
        <v>103</v>
      </c>
      <c r="F237" t="s">
        <v>37</v>
      </c>
      <c r="G237" t="s">
        <v>80</v>
      </c>
      <c r="H237" t="s">
        <v>80</v>
      </c>
      <c r="I237" t="s">
        <v>72</v>
      </c>
      <c r="J237" t="s">
        <v>72</v>
      </c>
      <c r="K237" s="14" t="str">
        <f t="shared" si="12"/>
        <v>Enugu → Lagos</v>
      </c>
      <c r="L237" t="s">
        <v>41</v>
      </c>
      <c r="M237">
        <v>61</v>
      </c>
      <c r="N237">
        <v>61</v>
      </c>
      <c r="O237">
        <v>0</v>
      </c>
      <c r="P237">
        <v>583</v>
      </c>
      <c r="Q237" s="14" t="str">
        <f t="shared" si="13"/>
        <v>501–1,000 km</v>
      </c>
      <c r="R237" s="14" t="str">
        <f>IF(Table2[[#This Row],[Distance Bands]]="0–100 km","Short",
IF(Table2[[#This Row],[Distance Bands]]="101–250 km","Medium",
IF(Table2[[#This Row],[Distance Bands]]="251–500 km","Long",
IF(Table2[[#This Row],[Distance Bands]]="501–1,000 km","Very Long",
"Extreme"))))</f>
        <v>Very Long</v>
      </c>
      <c r="S237" s="13">
        <f>Table2[[#This Row],[Freight_Cost_NGN]]/Table2[[#This Row],[Distance_km]]</f>
        <v>1667.5111492281303</v>
      </c>
      <c r="T237">
        <v>7</v>
      </c>
      <c r="U237">
        <v>7</v>
      </c>
      <c r="V237" s="14">
        <f>Table2[[#This Row],[Actual_Transit_Days]]-Table2[[#This Row],[Planned_Transit_Days]]</f>
        <v>0</v>
      </c>
      <c r="W237">
        <v>972159</v>
      </c>
      <c r="X237">
        <v>906480</v>
      </c>
      <c r="Y237" t="s">
        <v>42</v>
      </c>
      <c r="Z237" s="14">
        <f>IF(Table2[[#This Row],[Delivery_Date]]&lt;=Table2[[#This Row],[Planned_Date]],1,0)</f>
        <v>1</v>
      </c>
      <c r="AA237" s="18">
        <f>Table2[[#This Row],[Units_Damaged]]/Table2[[#This Row],[Units_Shipped]]</f>
        <v>0</v>
      </c>
      <c r="AB237">
        <f t="shared" si="14"/>
        <v>65679</v>
      </c>
      <c r="AC237" s="17">
        <f t="shared" si="15"/>
        <v>7.2454990733386279E-2</v>
      </c>
    </row>
    <row r="238" spans="1:29" x14ac:dyDescent="0.25">
      <c r="A238" t="s">
        <v>310</v>
      </c>
      <c r="B238" s="1">
        <v>46354</v>
      </c>
      <c r="C238" s="1">
        <v>46256</v>
      </c>
      <c r="D238" t="s">
        <v>62</v>
      </c>
      <c r="E238" t="s">
        <v>57</v>
      </c>
      <c r="F238" t="s">
        <v>37</v>
      </c>
      <c r="G238" t="s">
        <v>58</v>
      </c>
      <c r="H238" t="s">
        <v>59</v>
      </c>
      <c r="I238" t="s">
        <v>47</v>
      </c>
      <c r="J238" t="s">
        <v>48</v>
      </c>
      <c r="K238" s="14" t="str">
        <f t="shared" si="12"/>
        <v>Ogun → Cross River</v>
      </c>
      <c r="L238" t="s">
        <v>41</v>
      </c>
      <c r="M238">
        <v>138</v>
      </c>
      <c r="N238">
        <v>132</v>
      </c>
      <c r="O238">
        <v>6</v>
      </c>
      <c r="P238">
        <v>318</v>
      </c>
      <c r="Q238" s="14" t="str">
        <f t="shared" si="13"/>
        <v>251–500 km</v>
      </c>
      <c r="R238" s="14" t="str">
        <f>IF(Table2[[#This Row],[Distance Bands]]="0–100 km","Short",
IF(Table2[[#This Row],[Distance Bands]]="101–250 km","Medium",
IF(Table2[[#This Row],[Distance Bands]]="251–500 km","Long",
IF(Table2[[#This Row],[Distance Bands]]="501–1,000 km","Very Long",
"Extreme"))))</f>
        <v>Long</v>
      </c>
      <c r="S238" s="13">
        <f>Table2[[#This Row],[Freight_Cost_NGN]]/Table2[[#This Row],[Distance_km]]</f>
        <v>3695.6603773584907</v>
      </c>
      <c r="T238">
        <v>4</v>
      </c>
      <c r="U238">
        <v>6</v>
      </c>
      <c r="V238" s="14">
        <f>Table2[[#This Row],[Actual_Transit_Days]]-Table2[[#This Row],[Planned_Transit_Days]]</f>
        <v>2</v>
      </c>
      <c r="W238">
        <v>1175220</v>
      </c>
      <c r="X238">
        <v>1189243</v>
      </c>
      <c r="Y238" t="s">
        <v>33</v>
      </c>
      <c r="Z238" s="14">
        <f>IF(Table2[[#This Row],[Delivery_Date]]&lt;=Table2[[#This Row],[Planned_Date]],1,0)</f>
        <v>1</v>
      </c>
      <c r="AA238" s="18">
        <f>Table2[[#This Row],[Units_Damaged]]/Table2[[#This Row],[Units_Shipped]]</f>
        <v>4.3478260869565216E-2</v>
      </c>
      <c r="AB238">
        <f t="shared" si="14"/>
        <v>-14023</v>
      </c>
      <c r="AC238" s="17">
        <f t="shared" si="15"/>
        <v>-1.1791534614876859E-2</v>
      </c>
    </row>
    <row r="239" spans="1:29" x14ac:dyDescent="0.25">
      <c r="A239" t="s">
        <v>311</v>
      </c>
      <c r="B239" s="1">
        <v>46355</v>
      </c>
      <c r="C239" s="1">
        <v>46127</v>
      </c>
      <c r="D239" t="s">
        <v>35</v>
      </c>
      <c r="E239" t="s">
        <v>85</v>
      </c>
      <c r="F239" t="s">
        <v>53</v>
      </c>
      <c r="G239" t="s">
        <v>54</v>
      </c>
      <c r="H239" t="s">
        <v>55</v>
      </c>
      <c r="I239" t="s">
        <v>91</v>
      </c>
      <c r="J239" t="s">
        <v>92</v>
      </c>
      <c r="K239" s="14" t="str">
        <f t="shared" si="12"/>
        <v>Rivers → Delta</v>
      </c>
      <c r="L239" t="s">
        <v>32</v>
      </c>
      <c r="M239">
        <v>112</v>
      </c>
      <c r="N239">
        <v>112</v>
      </c>
      <c r="O239">
        <v>0</v>
      </c>
      <c r="P239">
        <v>185</v>
      </c>
      <c r="Q239" s="14" t="str">
        <f t="shared" si="13"/>
        <v>101–250 km</v>
      </c>
      <c r="R239" s="14" t="str">
        <f>IF(Table2[[#This Row],[Distance Bands]]="0–100 km","Short",
IF(Table2[[#This Row],[Distance Bands]]="101–250 km","Medium",
IF(Table2[[#This Row],[Distance Bands]]="251–500 km","Long",
IF(Table2[[#This Row],[Distance Bands]]="501–1,000 km","Very Long",
"Extreme"))))</f>
        <v>Medium</v>
      </c>
      <c r="S239" s="13">
        <f>Table2[[#This Row],[Freight_Cost_NGN]]/Table2[[#This Row],[Distance_km]]</f>
        <v>7888.762162162162</v>
      </c>
      <c r="T239">
        <v>4</v>
      </c>
      <c r="U239">
        <v>8</v>
      </c>
      <c r="V239" s="14">
        <f>Table2[[#This Row],[Actual_Transit_Days]]-Table2[[#This Row],[Planned_Transit_Days]]</f>
        <v>4</v>
      </c>
      <c r="W239">
        <v>1459421</v>
      </c>
      <c r="X239">
        <v>1633086</v>
      </c>
      <c r="Y239" t="s">
        <v>75</v>
      </c>
      <c r="Z239" s="14">
        <f>IF(Table2[[#This Row],[Delivery_Date]]&lt;=Table2[[#This Row],[Planned_Date]],1,0)</f>
        <v>1</v>
      </c>
      <c r="AA239" s="18">
        <f>Table2[[#This Row],[Units_Damaged]]/Table2[[#This Row],[Units_Shipped]]</f>
        <v>0</v>
      </c>
      <c r="AB239">
        <f t="shared" si="14"/>
        <v>-173665</v>
      </c>
      <c r="AC239" s="17">
        <f t="shared" si="15"/>
        <v>-0.10634161336267656</v>
      </c>
    </row>
    <row r="240" spans="1:29" x14ac:dyDescent="0.25">
      <c r="A240" t="s">
        <v>312</v>
      </c>
      <c r="B240" s="1">
        <v>46356</v>
      </c>
      <c r="C240" s="1">
        <v>46084</v>
      </c>
      <c r="D240" t="s">
        <v>26</v>
      </c>
      <c r="E240" t="s">
        <v>103</v>
      </c>
      <c r="F240" t="s">
        <v>28</v>
      </c>
      <c r="G240" t="s">
        <v>73</v>
      </c>
      <c r="H240" t="s">
        <v>74</v>
      </c>
      <c r="I240" t="s">
        <v>39</v>
      </c>
      <c r="J240" t="s">
        <v>40</v>
      </c>
      <c r="K240" s="14" t="str">
        <f t="shared" si="12"/>
        <v>Oyo → Anambra</v>
      </c>
      <c r="L240" t="s">
        <v>41</v>
      </c>
      <c r="M240">
        <v>80</v>
      </c>
      <c r="N240">
        <v>78</v>
      </c>
      <c r="O240">
        <v>2</v>
      </c>
      <c r="P240">
        <v>163</v>
      </c>
      <c r="Q240" s="14" t="str">
        <f t="shared" si="13"/>
        <v>101–250 km</v>
      </c>
      <c r="R240" s="14" t="str">
        <f>IF(Table2[[#This Row],[Distance Bands]]="0–100 km","Short",
IF(Table2[[#This Row],[Distance Bands]]="101–250 km","Medium",
IF(Table2[[#This Row],[Distance Bands]]="251–500 km","Long",
IF(Table2[[#This Row],[Distance Bands]]="501–1,000 km","Very Long",
"Extreme"))))</f>
        <v>Medium</v>
      </c>
      <c r="S240" s="13">
        <f>Table2[[#This Row],[Freight_Cost_NGN]]/Table2[[#This Row],[Distance_km]]</f>
        <v>6641.9263803680979</v>
      </c>
      <c r="T240">
        <v>3</v>
      </c>
      <c r="U240">
        <v>10</v>
      </c>
      <c r="V240" s="14">
        <f>Table2[[#This Row],[Actual_Transit_Days]]-Table2[[#This Row],[Planned_Transit_Days]]</f>
        <v>7</v>
      </c>
      <c r="W240">
        <v>1082634</v>
      </c>
      <c r="X240">
        <v>1195095</v>
      </c>
      <c r="Y240" t="s">
        <v>75</v>
      </c>
      <c r="Z240" s="14">
        <f>IF(Table2[[#This Row],[Delivery_Date]]&lt;=Table2[[#This Row],[Planned_Date]],1,0)</f>
        <v>1</v>
      </c>
      <c r="AA240" s="18">
        <f>Table2[[#This Row],[Units_Damaged]]/Table2[[#This Row],[Units_Shipped]]</f>
        <v>2.5000000000000001E-2</v>
      </c>
      <c r="AB240">
        <f t="shared" si="14"/>
        <v>-112461</v>
      </c>
      <c r="AC240" s="17">
        <f t="shared" si="15"/>
        <v>-9.4102142507499403E-2</v>
      </c>
    </row>
    <row r="241" spans="1:29" x14ac:dyDescent="0.25">
      <c r="A241" t="s">
        <v>313</v>
      </c>
      <c r="B241" s="1">
        <v>46357</v>
      </c>
      <c r="C241" s="1">
        <v>46037</v>
      </c>
      <c r="D241" t="s">
        <v>77</v>
      </c>
      <c r="E241" t="s">
        <v>57</v>
      </c>
      <c r="F241" t="s">
        <v>46</v>
      </c>
      <c r="G241" t="s">
        <v>49</v>
      </c>
      <c r="H241" t="s">
        <v>50</v>
      </c>
      <c r="I241" t="s">
        <v>91</v>
      </c>
      <c r="J241" t="s">
        <v>92</v>
      </c>
      <c r="K241" s="14" t="str">
        <f t="shared" si="12"/>
        <v>Niger → Delta</v>
      </c>
      <c r="L241" t="s">
        <v>32</v>
      </c>
      <c r="M241">
        <v>129</v>
      </c>
      <c r="N241">
        <v>125</v>
      </c>
      <c r="O241">
        <v>4</v>
      </c>
      <c r="P241">
        <v>378</v>
      </c>
      <c r="Q241" s="14" t="str">
        <f t="shared" si="13"/>
        <v>251–500 km</v>
      </c>
      <c r="R241" s="14" t="str">
        <f>IF(Table2[[#This Row],[Distance Bands]]="0–100 km","Short",
IF(Table2[[#This Row],[Distance Bands]]="101–250 km","Medium",
IF(Table2[[#This Row],[Distance Bands]]="251–500 km","Long",
IF(Table2[[#This Row],[Distance Bands]]="501–1,000 km","Very Long",
"Extreme"))))</f>
        <v>Long</v>
      </c>
      <c r="S241" s="13">
        <f>Table2[[#This Row],[Freight_Cost_NGN]]/Table2[[#This Row],[Distance_km]]</f>
        <v>2234</v>
      </c>
      <c r="T241">
        <v>5</v>
      </c>
      <c r="U241">
        <v>7</v>
      </c>
      <c r="V241" s="14">
        <f>Table2[[#This Row],[Actual_Transit_Days]]-Table2[[#This Row],[Planned_Transit_Days]]</f>
        <v>2</v>
      </c>
      <c r="W241">
        <v>844452</v>
      </c>
      <c r="X241">
        <v>843642</v>
      </c>
      <c r="Y241" t="s">
        <v>33</v>
      </c>
      <c r="Z241" s="14">
        <f>IF(Table2[[#This Row],[Delivery_Date]]&lt;=Table2[[#This Row],[Planned_Date]],1,0)</f>
        <v>1</v>
      </c>
      <c r="AA241" s="18">
        <f>Table2[[#This Row],[Units_Damaged]]/Table2[[#This Row],[Units_Shipped]]</f>
        <v>3.1007751937984496E-2</v>
      </c>
      <c r="AB241">
        <f t="shared" si="14"/>
        <v>810</v>
      </c>
      <c r="AC241" s="17">
        <f t="shared" si="15"/>
        <v>9.6012289573065349E-4</v>
      </c>
    </row>
    <row r="242" spans="1:29" x14ac:dyDescent="0.25">
      <c r="A242" t="s">
        <v>314</v>
      </c>
      <c r="B242" s="1">
        <v>46358</v>
      </c>
      <c r="C242" s="1">
        <v>46110</v>
      </c>
      <c r="D242" t="s">
        <v>62</v>
      </c>
      <c r="E242" t="s">
        <v>45</v>
      </c>
      <c r="F242" t="s">
        <v>53</v>
      </c>
      <c r="G242" t="s">
        <v>80</v>
      </c>
      <c r="H242" t="s">
        <v>80</v>
      </c>
      <c r="I242" t="s">
        <v>29</v>
      </c>
      <c r="J242" t="s">
        <v>29</v>
      </c>
      <c r="K242" s="14" t="str">
        <f t="shared" si="12"/>
        <v>Enugu → Kaduna</v>
      </c>
      <c r="L242" t="s">
        <v>41</v>
      </c>
      <c r="M242">
        <v>90</v>
      </c>
      <c r="N242">
        <v>89</v>
      </c>
      <c r="O242">
        <v>1</v>
      </c>
      <c r="P242">
        <v>117</v>
      </c>
      <c r="Q242" s="14" t="str">
        <f t="shared" si="13"/>
        <v>101–250 km</v>
      </c>
      <c r="R242" s="14" t="str">
        <f>IF(Table2[[#This Row],[Distance Bands]]="0–100 km","Short",
IF(Table2[[#This Row],[Distance Bands]]="101–250 km","Medium",
IF(Table2[[#This Row],[Distance Bands]]="251–500 km","Long",
IF(Table2[[#This Row],[Distance Bands]]="501–1,000 km","Very Long",
"Extreme"))))</f>
        <v>Medium</v>
      </c>
      <c r="S242" s="13">
        <f>Table2[[#This Row],[Freight_Cost_NGN]]/Table2[[#This Row],[Distance_km]]</f>
        <v>10021.461538461539</v>
      </c>
      <c r="T242">
        <v>2</v>
      </c>
      <c r="U242">
        <v>3</v>
      </c>
      <c r="V242" s="14">
        <f>Table2[[#This Row],[Actual_Transit_Days]]-Table2[[#This Row],[Planned_Transit_Days]]</f>
        <v>1</v>
      </c>
      <c r="W242">
        <v>1172511</v>
      </c>
      <c r="X242">
        <v>1081548</v>
      </c>
      <c r="Y242" t="s">
        <v>33</v>
      </c>
      <c r="Z242" s="14">
        <f>IF(Table2[[#This Row],[Delivery_Date]]&lt;=Table2[[#This Row],[Planned_Date]],1,0)</f>
        <v>1</v>
      </c>
      <c r="AA242" s="18">
        <f>Table2[[#This Row],[Units_Damaged]]/Table2[[#This Row],[Units_Shipped]]</f>
        <v>1.1111111111111112E-2</v>
      </c>
      <c r="AB242">
        <f t="shared" si="14"/>
        <v>90963</v>
      </c>
      <c r="AC242" s="17">
        <f t="shared" si="15"/>
        <v>8.4104450287920643E-2</v>
      </c>
    </row>
    <row r="243" spans="1:29" x14ac:dyDescent="0.25">
      <c r="A243" t="s">
        <v>315</v>
      </c>
      <c r="B243" s="1">
        <v>46359</v>
      </c>
      <c r="C243" s="1">
        <v>46201</v>
      </c>
      <c r="D243" t="s">
        <v>62</v>
      </c>
      <c r="E243" t="s">
        <v>27</v>
      </c>
      <c r="F243" t="s">
        <v>28</v>
      </c>
      <c r="G243" t="s">
        <v>49</v>
      </c>
      <c r="H243" t="s">
        <v>50</v>
      </c>
      <c r="I243" t="s">
        <v>47</v>
      </c>
      <c r="J243" t="s">
        <v>48</v>
      </c>
      <c r="K243" s="14" t="str">
        <f t="shared" si="12"/>
        <v>Niger → Cross River</v>
      </c>
      <c r="L243" t="s">
        <v>41</v>
      </c>
      <c r="M243">
        <v>108</v>
      </c>
      <c r="N243">
        <v>107</v>
      </c>
      <c r="O243">
        <v>1</v>
      </c>
      <c r="P243">
        <v>346</v>
      </c>
      <c r="Q243" s="14" t="str">
        <f t="shared" si="13"/>
        <v>251–500 km</v>
      </c>
      <c r="R243" s="14" t="str">
        <f>IF(Table2[[#This Row],[Distance Bands]]="0–100 km","Short",
IF(Table2[[#This Row],[Distance Bands]]="101–250 km","Medium",
IF(Table2[[#This Row],[Distance Bands]]="251–500 km","Long",
IF(Table2[[#This Row],[Distance Bands]]="501–1,000 km","Very Long",
"Extreme"))))</f>
        <v>Long</v>
      </c>
      <c r="S243" s="13">
        <f>Table2[[#This Row],[Freight_Cost_NGN]]/Table2[[#This Row],[Distance_km]]</f>
        <v>3121.184971098266</v>
      </c>
      <c r="T243">
        <v>1</v>
      </c>
      <c r="U243">
        <v>4</v>
      </c>
      <c r="V243" s="14">
        <f>Table2[[#This Row],[Actual_Transit_Days]]-Table2[[#This Row],[Planned_Transit_Days]]</f>
        <v>3</v>
      </c>
      <c r="W243">
        <v>1079930</v>
      </c>
      <c r="X243">
        <v>1014140</v>
      </c>
      <c r="Y243" t="s">
        <v>33</v>
      </c>
      <c r="Z243" s="14">
        <f>IF(Table2[[#This Row],[Delivery_Date]]&lt;=Table2[[#This Row],[Planned_Date]],1,0)</f>
        <v>1</v>
      </c>
      <c r="AA243" s="18">
        <f>Table2[[#This Row],[Units_Damaged]]/Table2[[#This Row],[Units_Shipped]]</f>
        <v>9.2592592592592587E-3</v>
      </c>
      <c r="AB243">
        <f t="shared" si="14"/>
        <v>65790</v>
      </c>
      <c r="AC243" s="17">
        <f t="shared" si="15"/>
        <v>6.4872700021693264E-2</v>
      </c>
    </row>
    <row r="244" spans="1:29" x14ac:dyDescent="0.25">
      <c r="A244" t="s">
        <v>316</v>
      </c>
      <c r="B244" s="1">
        <v>46360</v>
      </c>
      <c r="C244" s="1">
        <v>46216</v>
      </c>
      <c r="D244" t="s">
        <v>77</v>
      </c>
      <c r="E244" t="s">
        <v>27</v>
      </c>
      <c r="F244" t="s">
        <v>37</v>
      </c>
      <c r="G244" t="s">
        <v>30</v>
      </c>
      <c r="H244" t="s">
        <v>31</v>
      </c>
      <c r="I244" t="s">
        <v>64</v>
      </c>
      <c r="J244" t="s">
        <v>65</v>
      </c>
      <c r="K244" s="14" t="str">
        <f t="shared" si="12"/>
        <v>Kwara → Plateau</v>
      </c>
      <c r="L244" t="s">
        <v>41</v>
      </c>
      <c r="M244">
        <v>133</v>
      </c>
      <c r="N244">
        <v>131</v>
      </c>
      <c r="O244">
        <v>2</v>
      </c>
      <c r="P244">
        <v>696</v>
      </c>
      <c r="Q244" s="14" t="str">
        <f t="shared" si="13"/>
        <v>501–1,000 km</v>
      </c>
      <c r="R244" s="14" t="str">
        <f>IF(Table2[[#This Row],[Distance Bands]]="0–100 km","Short",
IF(Table2[[#This Row],[Distance Bands]]="101–250 km","Medium",
IF(Table2[[#This Row],[Distance Bands]]="251–500 km","Long",
IF(Table2[[#This Row],[Distance Bands]]="501–1,000 km","Very Long",
"Extreme"))))</f>
        <v>Very Long</v>
      </c>
      <c r="S244" s="13">
        <f>Table2[[#This Row],[Freight_Cost_NGN]]/Table2[[#This Row],[Distance_km]]</f>
        <v>2781.9942528735633</v>
      </c>
      <c r="T244">
        <v>3</v>
      </c>
      <c r="U244">
        <v>8</v>
      </c>
      <c r="V244" s="14">
        <f>Table2[[#This Row],[Actual_Transit_Days]]-Table2[[#This Row],[Planned_Transit_Days]]</f>
        <v>5</v>
      </c>
      <c r="W244">
        <v>1936268</v>
      </c>
      <c r="X244">
        <v>1967848</v>
      </c>
      <c r="Y244" t="s">
        <v>75</v>
      </c>
      <c r="Z244" s="14">
        <f>IF(Table2[[#This Row],[Delivery_Date]]&lt;=Table2[[#This Row],[Planned_Date]],1,0)</f>
        <v>1</v>
      </c>
      <c r="AA244" s="18">
        <f>Table2[[#This Row],[Units_Damaged]]/Table2[[#This Row],[Units_Shipped]]</f>
        <v>1.5037593984962405E-2</v>
      </c>
      <c r="AB244">
        <f t="shared" si="14"/>
        <v>-31580</v>
      </c>
      <c r="AC244" s="17">
        <f t="shared" si="15"/>
        <v>-1.6047987446184867E-2</v>
      </c>
    </row>
    <row r="245" spans="1:29" x14ac:dyDescent="0.25">
      <c r="A245" t="s">
        <v>317</v>
      </c>
      <c r="B245" s="1">
        <v>46361</v>
      </c>
      <c r="C245" s="1">
        <v>46133</v>
      </c>
      <c r="D245" t="s">
        <v>44</v>
      </c>
      <c r="E245" t="s">
        <v>67</v>
      </c>
      <c r="F245" t="s">
        <v>63</v>
      </c>
      <c r="G245" t="s">
        <v>73</v>
      </c>
      <c r="H245" t="s">
        <v>74</v>
      </c>
      <c r="I245" t="s">
        <v>72</v>
      </c>
      <c r="J245" t="s">
        <v>72</v>
      </c>
      <c r="K245" s="14" t="str">
        <f t="shared" si="12"/>
        <v>Oyo → Lagos</v>
      </c>
      <c r="L245" t="s">
        <v>41</v>
      </c>
      <c r="M245">
        <v>22</v>
      </c>
      <c r="N245">
        <v>21</v>
      </c>
      <c r="O245">
        <v>1</v>
      </c>
      <c r="P245">
        <v>709</v>
      </c>
      <c r="Q245" s="14" t="str">
        <f t="shared" si="13"/>
        <v>501–1,000 km</v>
      </c>
      <c r="R245" s="14" t="str">
        <f>IF(Table2[[#This Row],[Distance Bands]]="0–100 km","Short",
IF(Table2[[#This Row],[Distance Bands]]="101–250 km","Medium",
IF(Table2[[#This Row],[Distance Bands]]="251–500 km","Long",
IF(Table2[[#This Row],[Distance Bands]]="501–1,000 km","Very Long",
"Extreme"))))</f>
        <v>Very Long</v>
      </c>
      <c r="S245" s="13">
        <f>Table2[[#This Row],[Freight_Cost_NGN]]/Table2[[#This Row],[Distance_km]]</f>
        <v>895.39633286318758</v>
      </c>
      <c r="T245">
        <v>4</v>
      </c>
      <c r="U245">
        <v>4</v>
      </c>
      <c r="V245" s="14">
        <f>Table2[[#This Row],[Actual_Transit_Days]]-Table2[[#This Row],[Planned_Transit_Days]]</f>
        <v>0</v>
      </c>
      <c r="W245">
        <v>634836</v>
      </c>
      <c r="X245">
        <v>655668</v>
      </c>
      <c r="Y245" t="s">
        <v>42</v>
      </c>
      <c r="Z245" s="14">
        <f>IF(Table2[[#This Row],[Delivery_Date]]&lt;=Table2[[#This Row],[Planned_Date]],1,0)</f>
        <v>1</v>
      </c>
      <c r="AA245" s="18">
        <f>Table2[[#This Row],[Units_Damaged]]/Table2[[#This Row],[Units_Shipped]]</f>
        <v>4.5454545454545456E-2</v>
      </c>
      <c r="AB245">
        <f t="shared" si="14"/>
        <v>-20832</v>
      </c>
      <c r="AC245" s="17">
        <f t="shared" si="15"/>
        <v>-3.1772177382455753E-2</v>
      </c>
    </row>
    <row r="246" spans="1:29" x14ac:dyDescent="0.25">
      <c r="A246" t="s">
        <v>318</v>
      </c>
      <c r="B246" s="1">
        <v>46362</v>
      </c>
      <c r="C246" s="1">
        <v>46043</v>
      </c>
      <c r="D246" t="s">
        <v>62</v>
      </c>
      <c r="E246" t="s">
        <v>45</v>
      </c>
      <c r="F246" t="s">
        <v>63</v>
      </c>
      <c r="G246" t="s">
        <v>30</v>
      </c>
      <c r="H246" t="s">
        <v>31</v>
      </c>
      <c r="I246" t="s">
        <v>29</v>
      </c>
      <c r="J246" t="s">
        <v>29</v>
      </c>
      <c r="K246" s="14" t="str">
        <f t="shared" si="12"/>
        <v>Kwara → Kaduna</v>
      </c>
      <c r="L246" t="s">
        <v>41</v>
      </c>
      <c r="M246">
        <v>137</v>
      </c>
      <c r="N246">
        <v>137</v>
      </c>
      <c r="O246">
        <v>0</v>
      </c>
      <c r="P246">
        <v>217</v>
      </c>
      <c r="Q246" s="14" t="str">
        <f t="shared" si="13"/>
        <v>101–250 km</v>
      </c>
      <c r="R246" s="14" t="str">
        <f>IF(Table2[[#This Row],[Distance Bands]]="0–100 km","Short",
IF(Table2[[#This Row],[Distance Bands]]="101–250 km","Medium",
IF(Table2[[#This Row],[Distance Bands]]="251–500 km","Long",
IF(Table2[[#This Row],[Distance Bands]]="501–1,000 km","Very Long",
"Extreme"))))</f>
        <v>Medium</v>
      </c>
      <c r="S246" s="13">
        <f>Table2[[#This Row],[Freight_Cost_NGN]]/Table2[[#This Row],[Distance_km]]</f>
        <v>6752.9907834101386</v>
      </c>
      <c r="T246">
        <v>5</v>
      </c>
      <c r="U246">
        <v>7</v>
      </c>
      <c r="V246" s="14">
        <f>Table2[[#This Row],[Actual_Transit_Days]]-Table2[[#This Row],[Planned_Transit_Days]]</f>
        <v>2</v>
      </c>
      <c r="W246">
        <v>1465399</v>
      </c>
      <c r="X246">
        <v>1602199</v>
      </c>
      <c r="Y246" t="s">
        <v>33</v>
      </c>
      <c r="Z246" s="14">
        <f>IF(Table2[[#This Row],[Delivery_Date]]&lt;=Table2[[#This Row],[Planned_Date]],1,0)</f>
        <v>1</v>
      </c>
      <c r="AA246" s="18">
        <f>Table2[[#This Row],[Units_Damaged]]/Table2[[#This Row],[Units_Shipped]]</f>
        <v>0</v>
      </c>
      <c r="AB246">
        <f t="shared" si="14"/>
        <v>-136800</v>
      </c>
      <c r="AC246" s="17">
        <f t="shared" si="15"/>
        <v>-8.5382652217358773E-2</v>
      </c>
    </row>
    <row r="247" spans="1:29" x14ac:dyDescent="0.25">
      <c r="A247" t="s">
        <v>319</v>
      </c>
      <c r="B247" s="1">
        <v>46363</v>
      </c>
      <c r="C247" s="1">
        <v>46208</v>
      </c>
      <c r="D247" t="s">
        <v>77</v>
      </c>
      <c r="E247" t="s">
        <v>57</v>
      </c>
      <c r="F247" t="s">
        <v>28</v>
      </c>
      <c r="G247" t="s">
        <v>80</v>
      </c>
      <c r="H247" t="s">
        <v>80</v>
      </c>
      <c r="I247" t="s">
        <v>38</v>
      </c>
      <c r="J247" t="s">
        <v>38</v>
      </c>
      <c r="K247" s="14" t="str">
        <f t="shared" si="12"/>
        <v>Enugu → Kano</v>
      </c>
      <c r="L247" t="s">
        <v>32</v>
      </c>
      <c r="M247">
        <v>119</v>
      </c>
      <c r="N247">
        <v>114</v>
      </c>
      <c r="O247">
        <v>5</v>
      </c>
      <c r="P247">
        <v>427</v>
      </c>
      <c r="Q247" s="14" t="str">
        <f t="shared" si="13"/>
        <v>251–500 km</v>
      </c>
      <c r="R247" s="14" t="str">
        <f>IF(Table2[[#This Row],[Distance Bands]]="0–100 km","Short",
IF(Table2[[#This Row],[Distance Bands]]="101–250 km","Medium",
IF(Table2[[#This Row],[Distance Bands]]="251–500 km","Long",
IF(Table2[[#This Row],[Distance Bands]]="501–1,000 km","Very Long",
"Extreme"))))</f>
        <v>Long</v>
      </c>
      <c r="S247" s="13">
        <f>Table2[[#This Row],[Freight_Cost_NGN]]/Table2[[#This Row],[Distance_km]]</f>
        <v>1906.5737704918033</v>
      </c>
      <c r="T247">
        <v>3</v>
      </c>
      <c r="U247">
        <v>3</v>
      </c>
      <c r="V247" s="14">
        <f>Table2[[#This Row],[Actual_Transit_Days]]-Table2[[#This Row],[Planned_Transit_Days]]</f>
        <v>0</v>
      </c>
      <c r="W247">
        <v>814107</v>
      </c>
      <c r="X247">
        <v>819008</v>
      </c>
      <c r="Y247" t="s">
        <v>42</v>
      </c>
      <c r="Z247" s="14">
        <f>IF(Table2[[#This Row],[Delivery_Date]]&lt;=Table2[[#This Row],[Planned_Date]],1,0)</f>
        <v>1</v>
      </c>
      <c r="AA247" s="18">
        <f>Table2[[#This Row],[Units_Damaged]]/Table2[[#This Row],[Units_Shipped]]</f>
        <v>4.2016806722689079E-2</v>
      </c>
      <c r="AB247">
        <f t="shared" si="14"/>
        <v>-4901</v>
      </c>
      <c r="AC247" s="17">
        <f t="shared" si="15"/>
        <v>-5.984068531687114E-3</v>
      </c>
    </row>
    <row r="248" spans="1:29" x14ac:dyDescent="0.25">
      <c r="A248" t="s">
        <v>320</v>
      </c>
      <c r="B248" s="1">
        <v>46364</v>
      </c>
      <c r="C248" s="1">
        <v>46250</v>
      </c>
      <c r="D248" t="s">
        <v>35</v>
      </c>
      <c r="E248" t="s">
        <v>36</v>
      </c>
      <c r="F248" t="s">
        <v>37</v>
      </c>
      <c r="G248" t="s">
        <v>30</v>
      </c>
      <c r="H248" t="s">
        <v>31</v>
      </c>
      <c r="I248" t="s">
        <v>68</v>
      </c>
      <c r="J248" t="s">
        <v>69</v>
      </c>
      <c r="K248" s="14" t="str">
        <f t="shared" si="12"/>
        <v>Kwara → Abia</v>
      </c>
      <c r="L248" t="s">
        <v>32</v>
      </c>
      <c r="M248">
        <v>116</v>
      </c>
      <c r="N248">
        <v>115</v>
      </c>
      <c r="O248">
        <v>1</v>
      </c>
      <c r="P248">
        <v>639</v>
      </c>
      <c r="Q248" s="14" t="str">
        <f t="shared" si="13"/>
        <v>501–1,000 km</v>
      </c>
      <c r="R248" s="14" t="str">
        <f>IF(Table2[[#This Row],[Distance Bands]]="0–100 km","Short",
IF(Table2[[#This Row],[Distance Bands]]="101–250 km","Medium",
IF(Table2[[#This Row],[Distance Bands]]="251–500 km","Long",
IF(Table2[[#This Row],[Distance Bands]]="501–1,000 km","Very Long",
"Extreme"))))</f>
        <v>Very Long</v>
      </c>
      <c r="S248" s="13">
        <f>Table2[[#This Row],[Freight_Cost_NGN]]/Table2[[#This Row],[Distance_km]]</f>
        <v>2119.5101721439751</v>
      </c>
      <c r="T248">
        <v>3</v>
      </c>
      <c r="U248">
        <v>3</v>
      </c>
      <c r="V248" s="14">
        <f>Table2[[#This Row],[Actual_Transit_Days]]-Table2[[#This Row],[Planned_Transit_Days]]</f>
        <v>0</v>
      </c>
      <c r="W248">
        <v>1354367</v>
      </c>
      <c r="X248">
        <v>1325990</v>
      </c>
      <c r="Y248" t="s">
        <v>42</v>
      </c>
      <c r="Z248" s="14">
        <f>IF(Table2[[#This Row],[Delivery_Date]]&lt;=Table2[[#This Row],[Planned_Date]],1,0)</f>
        <v>1</v>
      </c>
      <c r="AA248" s="18">
        <f>Table2[[#This Row],[Units_Damaged]]/Table2[[#This Row],[Units_Shipped]]</f>
        <v>8.6206896551724137E-3</v>
      </c>
      <c r="AB248">
        <f t="shared" si="14"/>
        <v>28377</v>
      </c>
      <c r="AC248" s="17">
        <f t="shared" si="15"/>
        <v>2.140061388094933E-2</v>
      </c>
    </row>
    <row r="249" spans="1:29" x14ac:dyDescent="0.25">
      <c r="A249" t="s">
        <v>321</v>
      </c>
      <c r="B249" s="1">
        <v>46365</v>
      </c>
      <c r="C249" s="1">
        <v>46223</v>
      </c>
      <c r="D249" t="s">
        <v>35</v>
      </c>
      <c r="E249" t="s">
        <v>52</v>
      </c>
      <c r="F249" t="s">
        <v>63</v>
      </c>
      <c r="G249" t="s">
        <v>38</v>
      </c>
      <c r="H249" t="s">
        <v>38</v>
      </c>
      <c r="I249" t="s">
        <v>47</v>
      </c>
      <c r="J249" t="s">
        <v>48</v>
      </c>
      <c r="K249" s="14" t="str">
        <f t="shared" si="12"/>
        <v>Kano → Cross River</v>
      </c>
      <c r="L249" t="s">
        <v>41</v>
      </c>
      <c r="M249">
        <v>28</v>
      </c>
      <c r="N249">
        <v>28</v>
      </c>
      <c r="O249">
        <v>0</v>
      </c>
      <c r="P249">
        <v>28</v>
      </c>
      <c r="Q249" s="14" t="str">
        <f t="shared" si="13"/>
        <v>0–100 km</v>
      </c>
      <c r="R249" s="14" t="str">
        <f>IF(Table2[[#This Row],[Distance Bands]]="0–100 km","Short",
IF(Table2[[#This Row],[Distance Bands]]="101–250 km","Medium",
IF(Table2[[#This Row],[Distance Bands]]="251–500 km","Long",
IF(Table2[[#This Row],[Distance Bands]]="501–1,000 km","Very Long",
"Extreme"))))</f>
        <v>Short</v>
      </c>
      <c r="S249" s="13">
        <f>Table2[[#This Row],[Freight_Cost_NGN]]/Table2[[#This Row],[Distance_km]]</f>
        <v>5379</v>
      </c>
      <c r="T249">
        <v>5</v>
      </c>
      <c r="U249">
        <v>8</v>
      </c>
      <c r="V249" s="14">
        <f>Table2[[#This Row],[Actual_Transit_Days]]-Table2[[#This Row],[Planned_Transit_Days]]</f>
        <v>3</v>
      </c>
      <c r="W249">
        <v>150612</v>
      </c>
      <c r="X249">
        <v>152518</v>
      </c>
      <c r="Y249" t="s">
        <v>33</v>
      </c>
      <c r="Z249" s="14">
        <f>IF(Table2[[#This Row],[Delivery_Date]]&lt;=Table2[[#This Row],[Planned_Date]],1,0)</f>
        <v>1</v>
      </c>
      <c r="AA249" s="18">
        <f>Table2[[#This Row],[Units_Damaged]]/Table2[[#This Row],[Units_Shipped]]</f>
        <v>0</v>
      </c>
      <c r="AB249">
        <f t="shared" si="14"/>
        <v>-1906</v>
      </c>
      <c r="AC249" s="17">
        <f t="shared" si="15"/>
        <v>-1.2496885613501357E-2</v>
      </c>
    </row>
    <row r="250" spans="1:29" x14ac:dyDescent="0.25">
      <c r="A250" t="s">
        <v>322</v>
      </c>
      <c r="B250" s="1">
        <v>46366</v>
      </c>
      <c r="C250" s="1">
        <v>46085</v>
      </c>
      <c r="D250" t="s">
        <v>26</v>
      </c>
      <c r="E250" t="s">
        <v>57</v>
      </c>
      <c r="F250" t="s">
        <v>53</v>
      </c>
      <c r="G250" t="s">
        <v>64</v>
      </c>
      <c r="H250" t="s">
        <v>65</v>
      </c>
      <c r="I250" t="s">
        <v>39</v>
      </c>
      <c r="J250" t="s">
        <v>40</v>
      </c>
      <c r="K250" s="14" t="str">
        <f t="shared" si="12"/>
        <v>Plateau → Anambra</v>
      </c>
      <c r="L250" t="s">
        <v>32</v>
      </c>
      <c r="M250">
        <v>139</v>
      </c>
      <c r="N250">
        <v>135</v>
      </c>
      <c r="O250">
        <v>4</v>
      </c>
      <c r="P250">
        <v>639</v>
      </c>
      <c r="Q250" s="14" t="str">
        <f t="shared" si="13"/>
        <v>501–1,000 km</v>
      </c>
      <c r="R250" s="14" t="str">
        <f>IF(Table2[[#This Row],[Distance Bands]]="0–100 km","Short",
IF(Table2[[#This Row],[Distance Bands]]="101–250 km","Medium",
IF(Table2[[#This Row],[Distance Bands]]="251–500 km","Long",
IF(Table2[[#This Row],[Distance Bands]]="501–1,000 km","Very Long",
"Extreme"))))</f>
        <v>Very Long</v>
      </c>
      <c r="S250" s="13">
        <f>Table2[[#This Row],[Freight_Cost_NGN]]/Table2[[#This Row],[Distance_km]]</f>
        <v>2131.3896713615022</v>
      </c>
      <c r="T250">
        <v>3</v>
      </c>
      <c r="U250">
        <v>5</v>
      </c>
      <c r="V250" s="14">
        <f>Table2[[#This Row],[Actual_Transit_Days]]-Table2[[#This Row],[Planned_Transit_Days]]</f>
        <v>2</v>
      </c>
      <c r="W250">
        <v>1361958</v>
      </c>
      <c r="X250">
        <v>1372167</v>
      </c>
      <c r="Y250" t="s">
        <v>33</v>
      </c>
      <c r="Z250" s="14">
        <f>IF(Table2[[#This Row],[Delivery_Date]]&lt;=Table2[[#This Row],[Planned_Date]],1,0)</f>
        <v>1</v>
      </c>
      <c r="AA250" s="18">
        <f>Table2[[#This Row],[Units_Damaged]]/Table2[[#This Row],[Units_Shipped]]</f>
        <v>2.8776978417266189E-2</v>
      </c>
      <c r="AB250">
        <f t="shared" si="14"/>
        <v>-10209</v>
      </c>
      <c r="AC250" s="17">
        <f t="shared" si="15"/>
        <v>-7.4400564945811994E-3</v>
      </c>
    </row>
    <row r="251" spans="1:29" x14ac:dyDescent="0.25">
      <c r="A251" t="s">
        <v>323</v>
      </c>
      <c r="B251" s="1">
        <v>46367</v>
      </c>
      <c r="C251" s="1">
        <v>46199</v>
      </c>
      <c r="D251" t="s">
        <v>57</v>
      </c>
      <c r="E251" t="s">
        <v>57</v>
      </c>
      <c r="F251" t="s">
        <v>53</v>
      </c>
      <c r="G251" t="s">
        <v>39</v>
      </c>
      <c r="H251" t="s">
        <v>40</v>
      </c>
      <c r="I251" t="s">
        <v>91</v>
      </c>
      <c r="J251" t="s">
        <v>92</v>
      </c>
      <c r="K251" s="14" t="str">
        <f t="shared" si="12"/>
        <v>Anambra → Delta</v>
      </c>
      <c r="L251" t="s">
        <v>41</v>
      </c>
      <c r="M251">
        <v>91</v>
      </c>
      <c r="N251">
        <v>90</v>
      </c>
      <c r="O251">
        <v>1</v>
      </c>
      <c r="P251">
        <v>330</v>
      </c>
      <c r="Q251" s="14" t="str">
        <f t="shared" si="13"/>
        <v>251–500 km</v>
      </c>
      <c r="R251" s="14" t="str">
        <f>IF(Table2[[#This Row],[Distance Bands]]="0–100 km","Short",
IF(Table2[[#This Row],[Distance Bands]]="101–250 km","Medium",
IF(Table2[[#This Row],[Distance Bands]]="251–500 km","Long",
IF(Table2[[#This Row],[Distance Bands]]="501–1,000 km","Very Long",
"Extreme"))))</f>
        <v>Long</v>
      </c>
      <c r="S251" s="13">
        <f>Table2[[#This Row],[Freight_Cost_NGN]]/Table2[[#This Row],[Distance_km]]</f>
        <v>2504.9666666666667</v>
      </c>
      <c r="T251">
        <v>5</v>
      </c>
      <c r="U251">
        <v>9</v>
      </c>
      <c r="V251" s="14">
        <f>Table2[[#This Row],[Actual_Transit_Days]]-Table2[[#This Row],[Planned_Transit_Days]]</f>
        <v>4</v>
      </c>
      <c r="W251">
        <v>826639</v>
      </c>
      <c r="X251">
        <v>878323</v>
      </c>
      <c r="Y251" t="s">
        <v>75</v>
      </c>
      <c r="Z251" s="14">
        <f>IF(Table2[[#This Row],[Delivery_Date]]&lt;=Table2[[#This Row],[Planned_Date]],1,0)</f>
        <v>1</v>
      </c>
      <c r="AA251" s="18">
        <f>Table2[[#This Row],[Units_Damaged]]/Table2[[#This Row],[Units_Shipped]]</f>
        <v>1.098901098901099E-2</v>
      </c>
      <c r="AB251">
        <f t="shared" si="14"/>
        <v>-51684</v>
      </c>
      <c r="AC251" s="17">
        <f t="shared" si="15"/>
        <v>-5.8843956038951505E-2</v>
      </c>
    </row>
    <row r="252" spans="1:29" x14ac:dyDescent="0.25">
      <c r="A252" t="s">
        <v>324</v>
      </c>
      <c r="B252" s="1">
        <v>46368</v>
      </c>
      <c r="C252" s="1">
        <v>46052</v>
      </c>
      <c r="D252" t="s">
        <v>35</v>
      </c>
      <c r="E252" t="s">
        <v>52</v>
      </c>
      <c r="F252" t="s">
        <v>37</v>
      </c>
      <c r="G252" t="s">
        <v>29</v>
      </c>
      <c r="H252" t="s">
        <v>29</v>
      </c>
      <c r="I252" t="s">
        <v>38</v>
      </c>
      <c r="J252" t="s">
        <v>38</v>
      </c>
      <c r="K252" s="14" t="str">
        <f t="shared" si="12"/>
        <v>Kaduna → Kano</v>
      </c>
      <c r="L252" t="s">
        <v>32</v>
      </c>
      <c r="M252">
        <v>20</v>
      </c>
      <c r="N252">
        <v>20</v>
      </c>
      <c r="O252">
        <v>0</v>
      </c>
      <c r="P252">
        <v>595</v>
      </c>
      <c r="Q252" s="14" t="str">
        <f t="shared" si="13"/>
        <v>501–1,000 km</v>
      </c>
      <c r="R252" s="14" t="str">
        <f>IF(Table2[[#This Row],[Distance Bands]]="0–100 km","Short",
IF(Table2[[#This Row],[Distance Bands]]="101–250 km","Medium",
IF(Table2[[#This Row],[Distance Bands]]="251–500 km","Long",
IF(Table2[[#This Row],[Distance Bands]]="501–1,000 km","Very Long",
"Extreme"))))</f>
        <v>Very Long</v>
      </c>
      <c r="S252" s="13">
        <f>Table2[[#This Row],[Freight_Cost_NGN]]/Table2[[#This Row],[Distance_km]]</f>
        <v>442.27731092436977</v>
      </c>
      <c r="T252">
        <v>3</v>
      </c>
      <c r="U252">
        <v>4</v>
      </c>
      <c r="V252" s="14">
        <f>Table2[[#This Row],[Actual_Transit_Days]]-Table2[[#This Row],[Planned_Transit_Days]]</f>
        <v>1</v>
      </c>
      <c r="W252">
        <v>263155</v>
      </c>
      <c r="X252">
        <v>250908</v>
      </c>
      <c r="Y252" t="s">
        <v>33</v>
      </c>
      <c r="Z252" s="14">
        <f>IF(Table2[[#This Row],[Delivery_Date]]&lt;=Table2[[#This Row],[Planned_Date]],1,0)</f>
        <v>1</v>
      </c>
      <c r="AA252" s="18">
        <f>Table2[[#This Row],[Units_Damaged]]/Table2[[#This Row],[Units_Shipped]]</f>
        <v>0</v>
      </c>
      <c r="AB252">
        <f t="shared" si="14"/>
        <v>12247</v>
      </c>
      <c r="AC252" s="17">
        <f t="shared" si="15"/>
        <v>4.8810719466896232E-2</v>
      </c>
    </row>
    <row r="253" spans="1:29" x14ac:dyDescent="0.25">
      <c r="A253" t="s">
        <v>325</v>
      </c>
      <c r="B253" s="1">
        <v>46369</v>
      </c>
      <c r="C253" s="1">
        <v>46047</v>
      </c>
      <c r="D253" t="s">
        <v>57</v>
      </c>
      <c r="E253" t="s">
        <v>103</v>
      </c>
      <c r="F253" t="s">
        <v>46</v>
      </c>
      <c r="G253" t="s">
        <v>49</v>
      </c>
      <c r="H253" t="s">
        <v>50</v>
      </c>
      <c r="I253" t="s">
        <v>91</v>
      </c>
      <c r="J253" t="s">
        <v>92</v>
      </c>
      <c r="K253" s="14" t="str">
        <f t="shared" si="12"/>
        <v>Niger → Delta</v>
      </c>
      <c r="L253" t="s">
        <v>41</v>
      </c>
      <c r="M253">
        <v>157</v>
      </c>
      <c r="N253">
        <v>157</v>
      </c>
      <c r="O253">
        <v>0</v>
      </c>
      <c r="P253">
        <v>659</v>
      </c>
      <c r="Q253" s="14" t="str">
        <f t="shared" si="13"/>
        <v>501–1,000 km</v>
      </c>
      <c r="R253" s="14" t="str">
        <f>IF(Table2[[#This Row],[Distance Bands]]="0–100 km","Short",
IF(Table2[[#This Row],[Distance Bands]]="101–250 km","Medium",
IF(Table2[[#This Row],[Distance Bands]]="251–500 km","Long",
IF(Table2[[#This Row],[Distance Bands]]="501–1,000 km","Very Long",
"Extreme"))))</f>
        <v>Very Long</v>
      </c>
      <c r="S253" s="13">
        <f>Table2[[#This Row],[Freight_Cost_NGN]]/Table2[[#This Row],[Distance_km]]</f>
        <v>2209.1502276176025</v>
      </c>
      <c r="T253">
        <v>4</v>
      </c>
      <c r="U253">
        <v>4</v>
      </c>
      <c r="V253" s="14">
        <f>Table2[[#This Row],[Actual_Transit_Days]]-Table2[[#This Row],[Planned_Transit_Days]]</f>
        <v>0</v>
      </c>
      <c r="W253">
        <v>1455830</v>
      </c>
      <c r="X253">
        <v>1545651</v>
      </c>
      <c r="Y253" t="s">
        <v>42</v>
      </c>
      <c r="Z253" s="14">
        <f>IF(Table2[[#This Row],[Delivery_Date]]&lt;=Table2[[#This Row],[Planned_Date]],1,0)</f>
        <v>1</v>
      </c>
      <c r="AA253" s="18">
        <f>Table2[[#This Row],[Units_Damaged]]/Table2[[#This Row],[Units_Shipped]]</f>
        <v>0</v>
      </c>
      <c r="AB253">
        <f t="shared" si="14"/>
        <v>-89821</v>
      </c>
      <c r="AC253" s="17">
        <f t="shared" si="15"/>
        <v>-5.8112083516912938E-2</v>
      </c>
    </row>
    <row r="254" spans="1:29" x14ac:dyDescent="0.25">
      <c r="A254" t="s">
        <v>326</v>
      </c>
      <c r="B254" s="1">
        <v>46370</v>
      </c>
      <c r="C254" s="1">
        <v>46157</v>
      </c>
      <c r="D254" t="s">
        <v>77</v>
      </c>
      <c r="E254" t="s">
        <v>27</v>
      </c>
      <c r="F254" t="s">
        <v>37</v>
      </c>
      <c r="G254" t="s">
        <v>47</v>
      </c>
      <c r="H254" t="s">
        <v>48</v>
      </c>
      <c r="I254" t="s">
        <v>29</v>
      </c>
      <c r="J254" t="s">
        <v>29</v>
      </c>
      <c r="K254" s="14" t="str">
        <f t="shared" si="12"/>
        <v>Cross River → Kaduna</v>
      </c>
      <c r="L254" t="s">
        <v>41</v>
      </c>
      <c r="M254">
        <v>85</v>
      </c>
      <c r="N254">
        <v>84</v>
      </c>
      <c r="O254">
        <v>1</v>
      </c>
      <c r="P254">
        <v>442</v>
      </c>
      <c r="Q254" s="14" t="str">
        <f t="shared" si="13"/>
        <v>251–500 km</v>
      </c>
      <c r="R254" s="14" t="str">
        <f>IF(Table2[[#This Row],[Distance Bands]]="0–100 km","Short",
IF(Table2[[#This Row],[Distance Bands]]="101–250 km","Medium",
IF(Table2[[#This Row],[Distance Bands]]="251–500 km","Long",
IF(Table2[[#This Row],[Distance Bands]]="501–1,000 km","Very Long",
"Extreme"))))</f>
        <v>Long</v>
      </c>
      <c r="S254" s="13">
        <f>Table2[[#This Row],[Freight_Cost_NGN]]/Table2[[#This Row],[Distance_km]]</f>
        <v>1218.1538461538462</v>
      </c>
      <c r="T254">
        <v>5</v>
      </c>
      <c r="U254">
        <v>9</v>
      </c>
      <c r="V254" s="14">
        <f>Table2[[#This Row],[Actual_Transit_Days]]-Table2[[#This Row],[Planned_Transit_Days]]</f>
        <v>4</v>
      </c>
      <c r="W254">
        <v>538424</v>
      </c>
      <c r="X254">
        <v>532538</v>
      </c>
      <c r="Y254" t="s">
        <v>75</v>
      </c>
      <c r="Z254" s="14">
        <f>IF(Table2[[#This Row],[Delivery_Date]]&lt;=Table2[[#This Row],[Planned_Date]],1,0)</f>
        <v>1</v>
      </c>
      <c r="AA254" s="18">
        <f>Table2[[#This Row],[Units_Damaged]]/Table2[[#This Row],[Units_Shipped]]</f>
        <v>1.1764705882352941E-2</v>
      </c>
      <c r="AB254">
        <f t="shared" si="14"/>
        <v>5886</v>
      </c>
      <c r="AC254" s="17">
        <f t="shared" si="15"/>
        <v>1.1052732387172371E-2</v>
      </c>
    </row>
    <row r="255" spans="1:29" x14ac:dyDescent="0.25">
      <c r="A255" t="s">
        <v>327</v>
      </c>
      <c r="B255" s="1">
        <v>46371</v>
      </c>
      <c r="C255" s="1">
        <v>46081</v>
      </c>
      <c r="D255" t="s">
        <v>35</v>
      </c>
      <c r="E255" t="s">
        <v>103</v>
      </c>
      <c r="F255" t="s">
        <v>28</v>
      </c>
      <c r="G255" t="s">
        <v>72</v>
      </c>
      <c r="H255" t="s">
        <v>72</v>
      </c>
      <c r="I255" t="s">
        <v>47</v>
      </c>
      <c r="J255" t="s">
        <v>48</v>
      </c>
      <c r="K255" s="14" t="str">
        <f t="shared" si="12"/>
        <v>Lagos → Cross River</v>
      </c>
      <c r="L255" t="s">
        <v>32</v>
      </c>
      <c r="M255">
        <v>69</v>
      </c>
      <c r="N255">
        <v>68</v>
      </c>
      <c r="O255">
        <v>1</v>
      </c>
      <c r="P255">
        <v>498</v>
      </c>
      <c r="Q255" s="14" t="str">
        <f t="shared" si="13"/>
        <v>251–500 km</v>
      </c>
      <c r="R255" s="14" t="str">
        <f>IF(Table2[[#This Row],[Distance Bands]]="0–100 km","Short",
IF(Table2[[#This Row],[Distance Bands]]="101–250 km","Medium",
IF(Table2[[#This Row],[Distance Bands]]="251–500 km","Long",
IF(Table2[[#This Row],[Distance Bands]]="501–1,000 km","Very Long",
"Extreme"))))</f>
        <v>Long</v>
      </c>
      <c r="S255" s="13">
        <f>Table2[[#This Row],[Freight_Cost_NGN]]/Table2[[#This Row],[Distance_km]]</f>
        <v>1243.8493975903614</v>
      </c>
      <c r="T255">
        <v>5</v>
      </c>
      <c r="U255">
        <v>6</v>
      </c>
      <c r="V255" s="14">
        <f>Table2[[#This Row],[Actual_Transit_Days]]-Table2[[#This Row],[Planned_Transit_Days]]</f>
        <v>1</v>
      </c>
      <c r="W255">
        <v>619437</v>
      </c>
      <c r="X255">
        <v>617855</v>
      </c>
      <c r="Y255" t="s">
        <v>33</v>
      </c>
      <c r="Z255" s="14">
        <f>IF(Table2[[#This Row],[Delivery_Date]]&lt;=Table2[[#This Row],[Planned_Date]],1,0)</f>
        <v>1</v>
      </c>
      <c r="AA255" s="18">
        <f>Table2[[#This Row],[Units_Damaged]]/Table2[[#This Row],[Units_Shipped]]</f>
        <v>1.4492753623188406E-2</v>
      </c>
      <c r="AB255">
        <f t="shared" si="14"/>
        <v>1582</v>
      </c>
      <c r="AC255" s="17">
        <f t="shared" si="15"/>
        <v>2.5604713079929757E-3</v>
      </c>
    </row>
    <row r="256" spans="1:29" x14ac:dyDescent="0.25">
      <c r="A256" t="s">
        <v>328</v>
      </c>
      <c r="B256" s="1">
        <v>46372</v>
      </c>
      <c r="C256" s="1">
        <v>46163</v>
      </c>
      <c r="D256" t="s">
        <v>26</v>
      </c>
      <c r="E256" t="s">
        <v>36</v>
      </c>
      <c r="F256" t="s">
        <v>37</v>
      </c>
      <c r="G256" t="s">
        <v>68</v>
      </c>
      <c r="H256" t="s">
        <v>69</v>
      </c>
      <c r="I256" t="s">
        <v>29</v>
      </c>
      <c r="J256" t="s">
        <v>29</v>
      </c>
      <c r="K256" s="14" t="str">
        <f t="shared" si="12"/>
        <v>Abia → Kaduna</v>
      </c>
      <c r="L256" t="s">
        <v>41</v>
      </c>
      <c r="M256">
        <v>138</v>
      </c>
      <c r="N256">
        <v>135</v>
      </c>
      <c r="O256">
        <v>3</v>
      </c>
      <c r="P256">
        <v>192</v>
      </c>
      <c r="Q256" s="14" t="str">
        <f t="shared" si="13"/>
        <v>101–250 km</v>
      </c>
      <c r="R256" s="14" t="str">
        <f>IF(Table2[[#This Row],[Distance Bands]]="0–100 km","Short",
IF(Table2[[#This Row],[Distance Bands]]="101–250 km","Medium",
IF(Table2[[#This Row],[Distance Bands]]="251–500 km","Long",
IF(Table2[[#This Row],[Distance Bands]]="501–1,000 km","Very Long",
"Extreme"))))</f>
        <v>Medium</v>
      </c>
      <c r="S256" s="13">
        <f>Table2[[#This Row],[Freight_Cost_NGN]]/Table2[[#This Row],[Distance_km]]</f>
        <v>5276.375</v>
      </c>
      <c r="T256">
        <v>4</v>
      </c>
      <c r="U256">
        <v>5</v>
      </c>
      <c r="V256" s="14">
        <f>Table2[[#This Row],[Actual_Transit_Days]]-Table2[[#This Row],[Planned_Transit_Days]]</f>
        <v>1</v>
      </c>
      <c r="W256">
        <v>1013064</v>
      </c>
      <c r="X256">
        <v>1029731</v>
      </c>
      <c r="Y256" t="s">
        <v>33</v>
      </c>
      <c r="Z256" s="14">
        <f>IF(Table2[[#This Row],[Delivery_Date]]&lt;=Table2[[#This Row],[Planned_Date]],1,0)</f>
        <v>1</v>
      </c>
      <c r="AA256" s="18">
        <f>Table2[[#This Row],[Units_Damaged]]/Table2[[#This Row],[Units_Shipped]]</f>
        <v>2.1739130434782608E-2</v>
      </c>
      <c r="AB256">
        <f t="shared" si="14"/>
        <v>-16667</v>
      </c>
      <c r="AC256" s="17">
        <f t="shared" si="15"/>
        <v>-1.6185780558223457E-2</v>
      </c>
    </row>
    <row r="257" spans="1:29" x14ac:dyDescent="0.25">
      <c r="A257" t="s">
        <v>329</v>
      </c>
      <c r="B257" s="1">
        <v>46373</v>
      </c>
      <c r="C257" s="1">
        <v>46075</v>
      </c>
      <c r="D257" t="s">
        <v>44</v>
      </c>
      <c r="E257" t="s">
        <v>85</v>
      </c>
      <c r="F257" t="s">
        <v>37</v>
      </c>
      <c r="G257" t="s">
        <v>39</v>
      </c>
      <c r="H257" t="s">
        <v>40</v>
      </c>
      <c r="I257" t="s">
        <v>80</v>
      </c>
      <c r="J257" t="s">
        <v>80</v>
      </c>
      <c r="K257" s="14" t="str">
        <f t="shared" si="12"/>
        <v>Anambra → Enugu</v>
      </c>
      <c r="L257" t="s">
        <v>60</v>
      </c>
      <c r="M257">
        <v>155</v>
      </c>
      <c r="N257">
        <v>153</v>
      </c>
      <c r="O257">
        <v>2</v>
      </c>
      <c r="P257">
        <v>538</v>
      </c>
      <c r="Q257" s="14" t="str">
        <f t="shared" si="13"/>
        <v>501–1,000 km</v>
      </c>
      <c r="R257" s="14" t="str">
        <f>IF(Table2[[#This Row],[Distance Bands]]="0–100 km","Short",
IF(Table2[[#This Row],[Distance Bands]]="101–250 km","Medium",
IF(Table2[[#This Row],[Distance Bands]]="251–500 km","Long",
IF(Table2[[#This Row],[Distance Bands]]="501–1,000 km","Very Long",
"Extreme"))))</f>
        <v>Very Long</v>
      </c>
      <c r="S257" s="13">
        <f>Table2[[#This Row],[Freight_Cost_NGN]]/Table2[[#This Row],[Distance_km]]</f>
        <v>2707.5743494423791</v>
      </c>
      <c r="T257">
        <v>6</v>
      </c>
      <c r="U257">
        <v>6</v>
      </c>
      <c r="V257" s="14">
        <f>Table2[[#This Row],[Actual_Transit_Days]]-Table2[[#This Row],[Planned_Transit_Days]]</f>
        <v>0</v>
      </c>
      <c r="W257">
        <v>1456675</v>
      </c>
      <c r="X257">
        <v>1486250</v>
      </c>
      <c r="Y257" t="s">
        <v>42</v>
      </c>
      <c r="Z257" s="14">
        <f>IF(Table2[[#This Row],[Delivery_Date]]&lt;=Table2[[#This Row],[Planned_Date]],1,0)</f>
        <v>1</v>
      </c>
      <c r="AA257" s="18">
        <f>Table2[[#This Row],[Units_Damaged]]/Table2[[#This Row],[Units_Shipped]]</f>
        <v>1.2903225806451613E-2</v>
      </c>
      <c r="AB257">
        <f t="shared" si="14"/>
        <v>-29575</v>
      </c>
      <c r="AC257" s="17">
        <f t="shared" si="15"/>
        <v>-1.9899074852817493E-2</v>
      </c>
    </row>
    <row r="258" spans="1:29" x14ac:dyDescent="0.25">
      <c r="A258" t="s">
        <v>330</v>
      </c>
      <c r="B258" s="1">
        <v>46374</v>
      </c>
      <c r="C258" s="1">
        <v>46236</v>
      </c>
      <c r="D258" t="s">
        <v>77</v>
      </c>
      <c r="E258" t="s">
        <v>103</v>
      </c>
      <c r="F258" t="s">
        <v>63</v>
      </c>
      <c r="G258" t="s">
        <v>73</v>
      </c>
      <c r="H258" t="s">
        <v>74</v>
      </c>
      <c r="I258" t="s">
        <v>58</v>
      </c>
      <c r="J258" t="s">
        <v>59</v>
      </c>
      <c r="K258" s="14" t="str">
        <f t="shared" si="12"/>
        <v>Oyo → Ogun</v>
      </c>
      <c r="L258" t="s">
        <v>41</v>
      </c>
      <c r="M258">
        <v>16</v>
      </c>
      <c r="N258">
        <v>16</v>
      </c>
      <c r="O258">
        <v>0</v>
      </c>
      <c r="P258">
        <v>150</v>
      </c>
      <c r="Q258" s="14" t="str">
        <f t="shared" si="13"/>
        <v>101–250 km</v>
      </c>
      <c r="R258" s="14" t="str">
        <f>IF(Table2[[#This Row],[Distance Bands]]="0–100 km","Short",
IF(Table2[[#This Row],[Distance Bands]]="101–250 km","Medium",
IF(Table2[[#This Row],[Distance Bands]]="251–500 km","Long",
IF(Table2[[#This Row],[Distance Bands]]="501–1,000 km","Very Long",
"Extreme"))))</f>
        <v>Medium</v>
      </c>
      <c r="S258" s="13">
        <f>Table2[[#This Row],[Freight_Cost_NGN]]/Table2[[#This Row],[Distance_km]]</f>
        <v>1044.8266666666666</v>
      </c>
      <c r="T258">
        <v>2</v>
      </c>
      <c r="U258">
        <v>2</v>
      </c>
      <c r="V258" s="14">
        <f>Table2[[#This Row],[Actual_Transit_Days]]-Table2[[#This Row],[Planned_Transit_Days]]</f>
        <v>0</v>
      </c>
      <c r="W258">
        <v>156724</v>
      </c>
      <c r="X258">
        <v>173493</v>
      </c>
      <c r="Y258" t="s">
        <v>42</v>
      </c>
      <c r="Z258" s="14">
        <f>IF(Table2[[#This Row],[Delivery_Date]]&lt;=Table2[[#This Row],[Planned_Date]],1,0)</f>
        <v>1</v>
      </c>
      <c r="AA258" s="18">
        <f>Table2[[#This Row],[Units_Damaged]]/Table2[[#This Row],[Units_Shipped]]</f>
        <v>0</v>
      </c>
      <c r="AB258">
        <f t="shared" si="14"/>
        <v>-16769</v>
      </c>
      <c r="AC258" s="17">
        <f t="shared" si="15"/>
        <v>-9.6655196463257889E-2</v>
      </c>
    </row>
    <row r="259" spans="1:29" x14ac:dyDescent="0.25">
      <c r="A259" t="s">
        <v>331</v>
      </c>
      <c r="B259" s="1">
        <v>46375</v>
      </c>
      <c r="C259" s="1">
        <v>46088</v>
      </c>
      <c r="D259" t="s">
        <v>26</v>
      </c>
      <c r="E259" t="s">
        <v>57</v>
      </c>
      <c r="F259" t="s">
        <v>37</v>
      </c>
      <c r="G259" t="s">
        <v>91</v>
      </c>
      <c r="H259" t="s">
        <v>92</v>
      </c>
      <c r="I259" t="s">
        <v>38</v>
      </c>
      <c r="J259" t="s">
        <v>38</v>
      </c>
      <c r="K259" s="14" t="str">
        <f t="shared" ref="K259:K302" si="16">H259&amp;" → "&amp;J259</f>
        <v>Delta → Kano</v>
      </c>
      <c r="L259" t="s">
        <v>41</v>
      </c>
      <c r="M259">
        <v>23</v>
      </c>
      <c r="N259">
        <v>22</v>
      </c>
      <c r="O259">
        <v>1</v>
      </c>
      <c r="P259">
        <v>750</v>
      </c>
      <c r="Q259" s="14" t="str">
        <f t="shared" ref="Q259:Q302" si="17">IF(P259&lt;=100,"0–100 km",
IF(P259&lt;=250,"101–250 km",
IF(P259&lt;=500,"251–500 km",
IF(P259&lt;=1000,"501–1,000 km",
"1,000+ km"))))</f>
        <v>501–1,000 km</v>
      </c>
      <c r="R259" s="14" t="str">
        <f>IF(Table2[[#This Row],[Distance Bands]]="0–100 km","Short",
IF(Table2[[#This Row],[Distance Bands]]="101–250 km","Medium",
IF(Table2[[#This Row],[Distance Bands]]="251–500 km","Long",
IF(Table2[[#This Row],[Distance Bands]]="501–1,000 km","Very Long",
"Extreme"))))</f>
        <v>Very Long</v>
      </c>
      <c r="S259" s="13">
        <f>Table2[[#This Row],[Freight_Cost_NGN]]/Table2[[#This Row],[Distance_km]]</f>
        <v>860.42666666666662</v>
      </c>
      <c r="T259">
        <v>3</v>
      </c>
      <c r="U259">
        <v>3</v>
      </c>
      <c r="V259" s="14">
        <f>Table2[[#This Row],[Actual_Transit_Days]]-Table2[[#This Row],[Planned_Transit_Days]]</f>
        <v>0</v>
      </c>
      <c r="W259">
        <v>645320</v>
      </c>
      <c r="X259">
        <v>600997</v>
      </c>
      <c r="Y259" t="s">
        <v>42</v>
      </c>
      <c r="Z259" s="14">
        <f>IF(Table2[[#This Row],[Delivery_Date]]&lt;=Table2[[#This Row],[Planned_Date]],1,0)</f>
        <v>1</v>
      </c>
      <c r="AA259" s="18">
        <f>Table2[[#This Row],[Units_Damaged]]/Table2[[#This Row],[Units_Shipped]]</f>
        <v>4.3478260869565216E-2</v>
      </c>
      <c r="AB259">
        <f t="shared" si="14"/>
        <v>44323</v>
      </c>
      <c r="AC259" s="17">
        <f t="shared" si="15"/>
        <v>7.3749120211914529E-2</v>
      </c>
    </row>
    <row r="260" spans="1:29" x14ac:dyDescent="0.25">
      <c r="A260" t="s">
        <v>332</v>
      </c>
      <c r="B260" s="1">
        <v>46376</v>
      </c>
      <c r="C260" s="1">
        <v>46177</v>
      </c>
      <c r="D260" t="s">
        <v>44</v>
      </c>
      <c r="E260" t="s">
        <v>103</v>
      </c>
      <c r="F260" t="s">
        <v>28</v>
      </c>
      <c r="G260" t="s">
        <v>91</v>
      </c>
      <c r="H260" t="s">
        <v>92</v>
      </c>
      <c r="I260" t="s">
        <v>68</v>
      </c>
      <c r="J260" t="s">
        <v>69</v>
      </c>
      <c r="K260" s="14" t="str">
        <f t="shared" si="16"/>
        <v>Delta → Abia</v>
      </c>
      <c r="L260" t="s">
        <v>60</v>
      </c>
      <c r="M260">
        <v>109</v>
      </c>
      <c r="N260">
        <v>107</v>
      </c>
      <c r="O260">
        <v>2</v>
      </c>
      <c r="P260">
        <v>593</v>
      </c>
      <c r="Q260" s="14" t="str">
        <f t="shared" si="17"/>
        <v>501–1,000 km</v>
      </c>
      <c r="R260" s="14" t="str">
        <f>IF(Table2[[#This Row],[Distance Bands]]="0–100 km","Short",
IF(Table2[[#This Row],[Distance Bands]]="101–250 km","Medium",
IF(Table2[[#This Row],[Distance Bands]]="251–500 km","Long",
IF(Table2[[#This Row],[Distance Bands]]="501–1,000 km","Very Long",
"Extreme"))))</f>
        <v>Very Long</v>
      </c>
      <c r="S260" s="13">
        <f>Table2[[#This Row],[Freight_Cost_NGN]]/Table2[[#This Row],[Distance_km]]</f>
        <v>2960.0236087689714</v>
      </c>
      <c r="T260">
        <v>3</v>
      </c>
      <c r="U260">
        <v>3</v>
      </c>
      <c r="V260" s="14">
        <f>Table2[[#This Row],[Actual_Transit_Days]]-Table2[[#This Row],[Planned_Transit_Days]]</f>
        <v>0</v>
      </c>
      <c r="W260">
        <v>1755294</v>
      </c>
      <c r="X260">
        <v>1772887</v>
      </c>
      <c r="Y260" t="s">
        <v>42</v>
      </c>
      <c r="Z260" s="14">
        <f>IF(Table2[[#This Row],[Delivery_Date]]&lt;=Table2[[#This Row],[Planned_Date]],1,0)</f>
        <v>1</v>
      </c>
      <c r="AA260" s="18">
        <f>Table2[[#This Row],[Units_Damaged]]/Table2[[#This Row],[Units_Shipped]]</f>
        <v>1.834862385321101E-2</v>
      </c>
      <c r="AB260">
        <f t="shared" ref="AB260:AB302" si="18">W260-X260</f>
        <v>-17593</v>
      </c>
      <c r="AC260" s="17">
        <f t="shared" ref="AC260:AC302" si="19">AB260/X260</f>
        <v>-9.9233622898695743E-3</v>
      </c>
    </row>
    <row r="261" spans="1:29" x14ac:dyDescent="0.25">
      <c r="A261" t="s">
        <v>333</v>
      </c>
      <c r="B261" s="1">
        <v>46377</v>
      </c>
      <c r="C261" s="1">
        <v>46092</v>
      </c>
      <c r="D261" t="s">
        <v>44</v>
      </c>
      <c r="E261" t="s">
        <v>36</v>
      </c>
      <c r="F261" t="s">
        <v>37</v>
      </c>
      <c r="G261" t="s">
        <v>88</v>
      </c>
      <c r="H261" t="s">
        <v>89</v>
      </c>
      <c r="I261" t="s">
        <v>39</v>
      </c>
      <c r="J261" t="s">
        <v>40</v>
      </c>
      <c r="K261" s="14" t="str">
        <f t="shared" si="16"/>
        <v>Edo → Anambra</v>
      </c>
      <c r="L261" t="s">
        <v>32</v>
      </c>
      <c r="M261">
        <v>75</v>
      </c>
      <c r="N261">
        <v>73</v>
      </c>
      <c r="O261">
        <v>2</v>
      </c>
      <c r="P261">
        <v>411</v>
      </c>
      <c r="Q261" s="14" t="str">
        <f t="shared" si="17"/>
        <v>251–500 km</v>
      </c>
      <c r="R261" s="14" t="str">
        <f>IF(Table2[[#This Row],[Distance Bands]]="0–100 km","Short",
IF(Table2[[#This Row],[Distance Bands]]="101–250 km","Medium",
IF(Table2[[#This Row],[Distance Bands]]="251–500 km","Long",
IF(Table2[[#This Row],[Distance Bands]]="501–1,000 km","Very Long",
"Extreme"))))</f>
        <v>Long</v>
      </c>
      <c r="S261" s="13">
        <f>Table2[[#This Row],[Freight_Cost_NGN]]/Table2[[#This Row],[Distance_km]]</f>
        <v>2454.0364963503648</v>
      </c>
      <c r="T261">
        <v>4</v>
      </c>
      <c r="U261">
        <v>4</v>
      </c>
      <c r="V261" s="14">
        <f>Table2[[#This Row],[Actual_Transit_Days]]-Table2[[#This Row],[Planned_Transit_Days]]</f>
        <v>0</v>
      </c>
      <c r="W261">
        <v>1008609</v>
      </c>
      <c r="X261">
        <v>1077226</v>
      </c>
      <c r="Y261" t="s">
        <v>42</v>
      </c>
      <c r="Z261" s="14">
        <f>IF(Table2[[#This Row],[Delivery_Date]]&lt;=Table2[[#This Row],[Planned_Date]],1,0)</f>
        <v>1</v>
      </c>
      <c r="AA261" s="18">
        <f>Table2[[#This Row],[Units_Damaged]]/Table2[[#This Row],[Units_Shipped]]</f>
        <v>2.6666666666666668E-2</v>
      </c>
      <c r="AB261">
        <f t="shared" si="18"/>
        <v>-68617</v>
      </c>
      <c r="AC261" s="17">
        <f t="shared" si="19"/>
        <v>-6.3697868413870443E-2</v>
      </c>
    </row>
    <row r="262" spans="1:29" x14ac:dyDescent="0.25">
      <c r="A262" t="s">
        <v>334</v>
      </c>
      <c r="B262" s="1">
        <v>46378</v>
      </c>
      <c r="C262" s="1">
        <v>46257</v>
      </c>
      <c r="D262" t="s">
        <v>26</v>
      </c>
      <c r="E262" t="s">
        <v>36</v>
      </c>
      <c r="F262" t="s">
        <v>37</v>
      </c>
      <c r="G262" t="s">
        <v>68</v>
      </c>
      <c r="H262" t="s">
        <v>69</v>
      </c>
      <c r="I262" t="s">
        <v>47</v>
      </c>
      <c r="J262" t="s">
        <v>48</v>
      </c>
      <c r="K262" s="14" t="str">
        <f t="shared" si="16"/>
        <v>Abia → Cross River</v>
      </c>
      <c r="L262" t="s">
        <v>41</v>
      </c>
      <c r="M262">
        <v>152</v>
      </c>
      <c r="N262">
        <v>145</v>
      </c>
      <c r="O262">
        <v>7</v>
      </c>
      <c r="P262">
        <v>132</v>
      </c>
      <c r="Q262" s="14" t="str">
        <f t="shared" si="17"/>
        <v>101–250 km</v>
      </c>
      <c r="R262" s="14" t="str">
        <f>IF(Table2[[#This Row],[Distance Bands]]="0–100 km","Short",
IF(Table2[[#This Row],[Distance Bands]]="101–250 km","Medium",
IF(Table2[[#This Row],[Distance Bands]]="251–500 km","Long",
IF(Table2[[#This Row],[Distance Bands]]="501–1,000 km","Very Long",
"Extreme"))))</f>
        <v>Medium</v>
      </c>
      <c r="S262" s="13">
        <f>Table2[[#This Row],[Freight_Cost_NGN]]/Table2[[#This Row],[Distance_km]]</f>
        <v>9790.30303030303</v>
      </c>
      <c r="T262">
        <v>1</v>
      </c>
      <c r="U262">
        <v>1</v>
      </c>
      <c r="V262" s="14">
        <f>Table2[[#This Row],[Actual_Transit_Days]]-Table2[[#This Row],[Planned_Transit_Days]]</f>
        <v>0</v>
      </c>
      <c r="W262">
        <v>1292320</v>
      </c>
      <c r="X262">
        <v>1331962</v>
      </c>
      <c r="Y262" t="s">
        <v>42</v>
      </c>
      <c r="Z262" s="14">
        <f>IF(Table2[[#This Row],[Delivery_Date]]&lt;=Table2[[#This Row],[Planned_Date]],1,0)</f>
        <v>1</v>
      </c>
      <c r="AA262" s="18">
        <f>Table2[[#This Row],[Units_Damaged]]/Table2[[#This Row],[Units_Shipped]]</f>
        <v>4.6052631578947366E-2</v>
      </c>
      <c r="AB262">
        <f t="shared" si="18"/>
        <v>-39642</v>
      </c>
      <c r="AC262" s="17">
        <f t="shared" si="19"/>
        <v>-2.9762110330474892E-2</v>
      </c>
    </row>
    <row r="263" spans="1:29" x14ac:dyDescent="0.25">
      <c r="A263" t="s">
        <v>335</v>
      </c>
      <c r="B263" s="1">
        <v>46379</v>
      </c>
      <c r="C263" s="1">
        <v>46256</v>
      </c>
      <c r="D263" t="s">
        <v>26</v>
      </c>
      <c r="E263" t="s">
        <v>45</v>
      </c>
      <c r="F263" t="s">
        <v>28</v>
      </c>
      <c r="G263" t="s">
        <v>49</v>
      </c>
      <c r="H263" t="s">
        <v>50</v>
      </c>
      <c r="I263" t="s">
        <v>64</v>
      </c>
      <c r="J263" t="s">
        <v>65</v>
      </c>
      <c r="K263" s="14" t="str">
        <f t="shared" si="16"/>
        <v>Niger → Plateau</v>
      </c>
      <c r="L263" t="s">
        <v>41</v>
      </c>
      <c r="M263">
        <v>104</v>
      </c>
      <c r="N263">
        <v>101</v>
      </c>
      <c r="O263">
        <v>3</v>
      </c>
      <c r="P263">
        <v>83</v>
      </c>
      <c r="Q263" s="14" t="str">
        <f t="shared" si="17"/>
        <v>0–100 km</v>
      </c>
      <c r="R263" s="14" t="str">
        <f>IF(Table2[[#This Row],[Distance Bands]]="0–100 km","Short",
IF(Table2[[#This Row],[Distance Bands]]="101–250 km","Medium",
IF(Table2[[#This Row],[Distance Bands]]="251–500 km","Long",
IF(Table2[[#This Row],[Distance Bands]]="501–1,000 km","Very Long",
"Extreme"))))</f>
        <v>Short</v>
      </c>
      <c r="S263" s="13">
        <f>Table2[[#This Row],[Freight_Cost_NGN]]/Table2[[#This Row],[Distance_km]]</f>
        <v>9247</v>
      </c>
      <c r="T263">
        <v>4</v>
      </c>
      <c r="U263">
        <v>5</v>
      </c>
      <c r="V263" s="14">
        <f>Table2[[#This Row],[Actual_Transit_Days]]-Table2[[#This Row],[Planned_Transit_Days]]</f>
        <v>1</v>
      </c>
      <c r="W263">
        <v>767501</v>
      </c>
      <c r="X263">
        <v>839046</v>
      </c>
      <c r="Y263" t="s">
        <v>33</v>
      </c>
      <c r="Z263" s="14">
        <f>IF(Table2[[#This Row],[Delivery_Date]]&lt;=Table2[[#This Row],[Planned_Date]],1,0)</f>
        <v>1</v>
      </c>
      <c r="AA263" s="18">
        <f>Table2[[#This Row],[Units_Damaged]]/Table2[[#This Row],[Units_Shipped]]</f>
        <v>2.8846153846153848E-2</v>
      </c>
      <c r="AB263">
        <f t="shared" si="18"/>
        <v>-71545</v>
      </c>
      <c r="AC263" s="17">
        <f t="shared" si="19"/>
        <v>-8.5269460792376101E-2</v>
      </c>
    </row>
    <row r="264" spans="1:29" x14ac:dyDescent="0.25">
      <c r="A264" t="s">
        <v>336</v>
      </c>
      <c r="B264" s="1">
        <v>46380</v>
      </c>
      <c r="C264" s="1">
        <v>46266</v>
      </c>
      <c r="D264" t="s">
        <v>77</v>
      </c>
      <c r="E264" t="s">
        <v>52</v>
      </c>
      <c r="F264" t="s">
        <v>63</v>
      </c>
      <c r="G264" t="s">
        <v>54</v>
      </c>
      <c r="H264" t="s">
        <v>55</v>
      </c>
      <c r="I264" t="s">
        <v>64</v>
      </c>
      <c r="J264" t="s">
        <v>65</v>
      </c>
      <c r="K264" s="14" t="str">
        <f t="shared" si="16"/>
        <v>Rivers → Plateau</v>
      </c>
      <c r="L264" t="s">
        <v>60</v>
      </c>
      <c r="M264">
        <v>72</v>
      </c>
      <c r="N264">
        <v>70</v>
      </c>
      <c r="O264">
        <v>2</v>
      </c>
      <c r="P264">
        <v>31</v>
      </c>
      <c r="Q264" s="14" t="str">
        <f t="shared" si="17"/>
        <v>0–100 km</v>
      </c>
      <c r="R264" s="14" t="str">
        <f>IF(Table2[[#This Row],[Distance Bands]]="0–100 km","Short",
IF(Table2[[#This Row],[Distance Bands]]="101–250 km","Medium",
IF(Table2[[#This Row],[Distance Bands]]="251–500 km","Long",
IF(Table2[[#This Row],[Distance Bands]]="501–1,000 km","Very Long",
"Extreme"))))</f>
        <v>Short</v>
      </c>
      <c r="S264" s="13">
        <f>Table2[[#This Row],[Freight_Cost_NGN]]/Table2[[#This Row],[Distance_km]]</f>
        <v>12632.838709677419</v>
      </c>
      <c r="T264">
        <v>3</v>
      </c>
      <c r="U264">
        <v>3</v>
      </c>
      <c r="V264" s="14">
        <f>Table2[[#This Row],[Actual_Transit_Days]]-Table2[[#This Row],[Planned_Transit_Days]]</f>
        <v>0</v>
      </c>
      <c r="W264">
        <v>391618</v>
      </c>
      <c r="X264">
        <v>395554</v>
      </c>
      <c r="Y264" t="s">
        <v>42</v>
      </c>
      <c r="Z264" s="14">
        <f>IF(Table2[[#This Row],[Delivery_Date]]&lt;=Table2[[#This Row],[Planned_Date]],1,0)</f>
        <v>1</v>
      </c>
      <c r="AA264" s="18">
        <f>Table2[[#This Row],[Units_Damaged]]/Table2[[#This Row],[Units_Shipped]]</f>
        <v>2.7777777777777776E-2</v>
      </c>
      <c r="AB264">
        <f t="shared" si="18"/>
        <v>-3936</v>
      </c>
      <c r="AC264" s="17">
        <f t="shared" si="19"/>
        <v>-9.9506009293294975E-3</v>
      </c>
    </row>
    <row r="265" spans="1:29" x14ac:dyDescent="0.25">
      <c r="A265" t="s">
        <v>337</v>
      </c>
      <c r="B265" s="1">
        <v>46381</v>
      </c>
      <c r="C265" s="1">
        <v>46197</v>
      </c>
      <c r="D265" t="s">
        <v>57</v>
      </c>
      <c r="E265" t="s">
        <v>52</v>
      </c>
      <c r="F265" t="s">
        <v>37</v>
      </c>
      <c r="G265" t="s">
        <v>54</v>
      </c>
      <c r="H265" t="s">
        <v>55</v>
      </c>
      <c r="I265" t="s">
        <v>49</v>
      </c>
      <c r="J265" t="s">
        <v>50</v>
      </c>
      <c r="K265" s="14" t="str">
        <f t="shared" si="16"/>
        <v>Rivers → Niger</v>
      </c>
      <c r="L265" t="s">
        <v>32</v>
      </c>
      <c r="M265">
        <v>149</v>
      </c>
      <c r="N265">
        <v>146</v>
      </c>
      <c r="O265">
        <v>3</v>
      </c>
      <c r="P265">
        <v>394</v>
      </c>
      <c r="Q265" s="14" t="str">
        <f t="shared" si="17"/>
        <v>251–500 km</v>
      </c>
      <c r="R265" s="14" t="str">
        <f>IF(Table2[[#This Row],[Distance Bands]]="0–100 km","Short",
IF(Table2[[#This Row],[Distance Bands]]="101–250 km","Medium",
IF(Table2[[#This Row],[Distance Bands]]="251–500 km","Long",
IF(Table2[[#This Row],[Distance Bands]]="501–1,000 km","Very Long",
"Extreme"))))</f>
        <v>Long</v>
      </c>
      <c r="S265" s="13">
        <f>Table2[[#This Row],[Freight_Cost_NGN]]/Table2[[#This Row],[Distance_km]]</f>
        <v>2592.2944162436547</v>
      </c>
      <c r="T265">
        <v>4</v>
      </c>
      <c r="U265">
        <v>11</v>
      </c>
      <c r="V265" s="14">
        <f>Table2[[#This Row],[Actual_Transit_Days]]-Table2[[#This Row],[Planned_Transit_Days]]</f>
        <v>7</v>
      </c>
      <c r="W265">
        <v>1021364</v>
      </c>
      <c r="X265">
        <v>1006461</v>
      </c>
      <c r="Y265" t="s">
        <v>75</v>
      </c>
      <c r="Z265" s="14">
        <f>IF(Table2[[#This Row],[Delivery_Date]]&lt;=Table2[[#This Row],[Planned_Date]],1,0)</f>
        <v>1</v>
      </c>
      <c r="AA265" s="18">
        <f>Table2[[#This Row],[Units_Damaged]]/Table2[[#This Row],[Units_Shipped]]</f>
        <v>2.0134228187919462E-2</v>
      </c>
      <c r="AB265">
        <f t="shared" si="18"/>
        <v>14903</v>
      </c>
      <c r="AC265" s="17">
        <f t="shared" si="19"/>
        <v>1.4807329841891538E-2</v>
      </c>
    </row>
    <row r="266" spans="1:29" x14ac:dyDescent="0.25">
      <c r="A266" t="s">
        <v>338</v>
      </c>
      <c r="B266" s="1">
        <v>46382</v>
      </c>
      <c r="C266" s="1">
        <v>46123</v>
      </c>
      <c r="D266" t="s">
        <v>35</v>
      </c>
      <c r="E266" t="s">
        <v>52</v>
      </c>
      <c r="F266" t="s">
        <v>63</v>
      </c>
      <c r="G266" t="s">
        <v>49</v>
      </c>
      <c r="H266" t="s">
        <v>50</v>
      </c>
      <c r="I266" t="s">
        <v>73</v>
      </c>
      <c r="J266" t="s">
        <v>74</v>
      </c>
      <c r="K266" s="14" t="str">
        <f t="shared" si="16"/>
        <v>Niger → Oyo</v>
      </c>
      <c r="L266" t="s">
        <v>41</v>
      </c>
      <c r="M266">
        <v>43</v>
      </c>
      <c r="N266">
        <v>42</v>
      </c>
      <c r="O266">
        <v>1</v>
      </c>
      <c r="P266">
        <v>393</v>
      </c>
      <c r="Q266" s="14" t="str">
        <f t="shared" si="17"/>
        <v>251–500 km</v>
      </c>
      <c r="R266" s="14" t="str">
        <f>IF(Table2[[#This Row],[Distance Bands]]="0–100 km","Short",
IF(Table2[[#This Row],[Distance Bands]]="101–250 km","Medium",
IF(Table2[[#This Row],[Distance Bands]]="251–500 km","Long",
IF(Table2[[#This Row],[Distance Bands]]="501–1,000 km","Very Long",
"Extreme"))))</f>
        <v>Long</v>
      </c>
      <c r="S266" s="13">
        <f>Table2[[#This Row],[Freight_Cost_NGN]]/Table2[[#This Row],[Distance_km]]</f>
        <v>1665.1043256997455</v>
      </c>
      <c r="T266">
        <v>4</v>
      </c>
      <c r="U266">
        <v>5</v>
      </c>
      <c r="V266" s="14">
        <f>Table2[[#This Row],[Actual_Transit_Days]]-Table2[[#This Row],[Planned_Transit_Days]]</f>
        <v>1</v>
      </c>
      <c r="W266">
        <v>654386</v>
      </c>
      <c r="X266">
        <v>698717</v>
      </c>
      <c r="Y266" t="s">
        <v>33</v>
      </c>
      <c r="Z266" s="14">
        <f>IF(Table2[[#This Row],[Delivery_Date]]&lt;=Table2[[#This Row],[Planned_Date]],1,0)</f>
        <v>1</v>
      </c>
      <c r="AA266" s="18">
        <f>Table2[[#This Row],[Units_Damaged]]/Table2[[#This Row],[Units_Shipped]]</f>
        <v>2.3255813953488372E-2</v>
      </c>
      <c r="AB266">
        <f t="shared" si="18"/>
        <v>-44331</v>
      </c>
      <c r="AC266" s="17">
        <f t="shared" si="19"/>
        <v>-6.3446287982115795E-2</v>
      </c>
    </row>
    <row r="267" spans="1:29" x14ac:dyDescent="0.25">
      <c r="A267" t="s">
        <v>339</v>
      </c>
      <c r="B267" s="1">
        <v>46383</v>
      </c>
      <c r="C267" s="1">
        <v>46069</v>
      </c>
      <c r="D267" t="s">
        <v>57</v>
      </c>
      <c r="E267" t="s">
        <v>45</v>
      </c>
      <c r="F267" t="s">
        <v>37</v>
      </c>
      <c r="G267" t="s">
        <v>80</v>
      </c>
      <c r="H267" t="s">
        <v>80</v>
      </c>
      <c r="I267" t="s">
        <v>58</v>
      </c>
      <c r="J267" t="s">
        <v>59</v>
      </c>
      <c r="K267" s="14" t="str">
        <f t="shared" si="16"/>
        <v>Enugu → Ogun</v>
      </c>
      <c r="L267" t="s">
        <v>32</v>
      </c>
      <c r="M267">
        <v>66</v>
      </c>
      <c r="N267">
        <v>66</v>
      </c>
      <c r="O267">
        <v>0</v>
      </c>
      <c r="P267">
        <v>338</v>
      </c>
      <c r="Q267" s="14" t="str">
        <f t="shared" si="17"/>
        <v>251–500 km</v>
      </c>
      <c r="R267" s="14" t="str">
        <f>IF(Table2[[#This Row],[Distance Bands]]="0–100 km","Short",
IF(Table2[[#This Row],[Distance Bands]]="101–250 km","Medium",
IF(Table2[[#This Row],[Distance Bands]]="251–500 km","Long",
IF(Table2[[#This Row],[Distance Bands]]="501–1,000 km","Very Long",
"Extreme"))))</f>
        <v>Long</v>
      </c>
      <c r="S267" s="13">
        <f>Table2[[#This Row],[Freight_Cost_NGN]]/Table2[[#This Row],[Distance_km]]</f>
        <v>1589.8934911242604</v>
      </c>
      <c r="T267">
        <v>3</v>
      </c>
      <c r="U267">
        <v>3</v>
      </c>
      <c r="V267" s="14">
        <f>Table2[[#This Row],[Actual_Transit_Days]]-Table2[[#This Row],[Planned_Transit_Days]]</f>
        <v>0</v>
      </c>
      <c r="W267">
        <v>537384</v>
      </c>
      <c r="X267">
        <v>558320</v>
      </c>
      <c r="Y267" t="s">
        <v>42</v>
      </c>
      <c r="Z267" s="14">
        <f>IF(Table2[[#This Row],[Delivery_Date]]&lt;=Table2[[#This Row],[Planned_Date]],1,0)</f>
        <v>1</v>
      </c>
      <c r="AA267" s="18">
        <f>Table2[[#This Row],[Units_Damaged]]/Table2[[#This Row],[Units_Shipped]]</f>
        <v>0</v>
      </c>
      <c r="AB267">
        <f t="shared" si="18"/>
        <v>-20936</v>
      </c>
      <c r="AC267" s="17">
        <f t="shared" si="19"/>
        <v>-3.749820891245164E-2</v>
      </c>
    </row>
    <row r="268" spans="1:29" x14ac:dyDescent="0.25">
      <c r="A268" t="s">
        <v>340</v>
      </c>
      <c r="B268" s="1">
        <v>46384</v>
      </c>
      <c r="C268" s="1">
        <v>46204</v>
      </c>
      <c r="D268" t="s">
        <v>35</v>
      </c>
      <c r="E268" t="s">
        <v>57</v>
      </c>
      <c r="F268" t="s">
        <v>46</v>
      </c>
      <c r="G268" t="s">
        <v>47</v>
      </c>
      <c r="H268" t="s">
        <v>48</v>
      </c>
      <c r="I268" t="s">
        <v>68</v>
      </c>
      <c r="J268" t="s">
        <v>69</v>
      </c>
      <c r="K268" s="14" t="str">
        <f t="shared" si="16"/>
        <v>Cross River → Abia</v>
      </c>
      <c r="L268" t="s">
        <v>41</v>
      </c>
      <c r="M268">
        <v>124</v>
      </c>
      <c r="N268">
        <v>124</v>
      </c>
      <c r="O268">
        <v>0</v>
      </c>
      <c r="P268">
        <v>627</v>
      </c>
      <c r="Q268" s="14" t="str">
        <f t="shared" si="17"/>
        <v>501–1,000 km</v>
      </c>
      <c r="R268" s="14" t="str">
        <f>IF(Table2[[#This Row],[Distance Bands]]="0–100 km","Short",
IF(Table2[[#This Row],[Distance Bands]]="101–250 km","Medium",
IF(Table2[[#This Row],[Distance Bands]]="251–500 km","Long",
IF(Table2[[#This Row],[Distance Bands]]="501–1,000 km","Very Long",
"Extreme"))))</f>
        <v>Very Long</v>
      </c>
      <c r="S268" s="13">
        <f>Table2[[#This Row],[Freight_Cost_NGN]]/Table2[[#This Row],[Distance_km]]</f>
        <v>1384.4114832535886</v>
      </c>
      <c r="T268">
        <v>3</v>
      </c>
      <c r="U268">
        <v>4</v>
      </c>
      <c r="V268" s="14">
        <f>Table2[[#This Row],[Actual_Transit_Days]]-Table2[[#This Row],[Planned_Transit_Days]]</f>
        <v>1</v>
      </c>
      <c r="W268">
        <v>868026</v>
      </c>
      <c r="X268">
        <v>958433</v>
      </c>
      <c r="Y268" t="s">
        <v>33</v>
      </c>
      <c r="Z268" s="14">
        <f>IF(Table2[[#This Row],[Delivery_Date]]&lt;=Table2[[#This Row],[Planned_Date]],1,0)</f>
        <v>1</v>
      </c>
      <c r="AA268" s="18">
        <f>Table2[[#This Row],[Units_Damaged]]/Table2[[#This Row],[Units_Shipped]]</f>
        <v>0</v>
      </c>
      <c r="AB268">
        <f t="shared" si="18"/>
        <v>-90407</v>
      </c>
      <c r="AC268" s="17">
        <f t="shared" si="19"/>
        <v>-9.4327929025816104E-2</v>
      </c>
    </row>
    <row r="269" spans="1:29" x14ac:dyDescent="0.25">
      <c r="A269" t="s">
        <v>341</v>
      </c>
      <c r="B269" s="1">
        <v>46385</v>
      </c>
      <c r="C269" s="1">
        <v>46214</v>
      </c>
      <c r="D269" t="s">
        <v>77</v>
      </c>
      <c r="E269" t="s">
        <v>36</v>
      </c>
      <c r="F269" t="s">
        <v>63</v>
      </c>
      <c r="G269" t="s">
        <v>39</v>
      </c>
      <c r="H269" t="s">
        <v>40</v>
      </c>
      <c r="I269" t="s">
        <v>72</v>
      </c>
      <c r="J269" t="s">
        <v>72</v>
      </c>
      <c r="K269" s="14" t="str">
        <f t="shared" si="16"/>
        <v>Anambra → Lagos</v>
      </c>
      <c r="L269" t="s">
        <v>41</v>
      </c>
      <c r="M269">
        <v>89</v>
      </c>
      <c r="N269">
        <v>88</v>
      </c>
      <c r="O269">
        <v>1</v>
      </c>
      <c r="P269">
        <v>794</v>
      </c>
      <c r="Q269" s="14" t="str">
        <f t="shared" si="17"/>
        <v>501–1,000 km</v>
      </c>
      <c r="R269" s="14" t="str">
        <f>IF(Table2[[#This Row],[Distance Bands]]="0–100 km","Short",
IF(Table2[[#This Row],[Distance Bands]]="101–250 km","Medium",
IF(Table2[[#This Row],[Distance Bands]]="251–500 km","Long",
IF(Table2[[#This Row],[Distance Bands]]="501–1,000 km","Very Long",
"Extreme"))))</f>
        <v>Very Long</v>
      </c>
      <c r="S269" s="13">
        <f>Table2[[#This Row],[Freight_Cost_NGN]]/Table2[[#This Row],[Distance_km]]</f>
        <v>1679.4231738035264</v>
      </c>
      <c r="T269">
        <v>6</v>
      </c>
      <c r="U269">
        <v>6</v>
      </c>
      <c r="V269" s="14">
        <f>Table2[[#This Row],[Actual_Transit_Days]]-Table2[[#This Row],[Planned_Transit_Days]]</f>
        <v>0</v>
      </c>
      <c r="W269">
        <v>1333462</v>
      </c>
      <c r="X269">
        <v>1293027</v>
      </c>
      <c r="Y269" t="s">
        <v>42</v>
      </c>
      <c r="Z269" s="14">
        <f>IF(Table2[[#This Row],[Delivery_Date]]&lt;=Table2[[#This Row],[Planned_Date]],1,0)</f>
        <v>1</v>
      </c>
      <c r="AA269" s="18">
        <f>Table2[[#This Row],[Units_Damaged]]/Table2[[#This Row],[Units_Shipped]]</f>
        <v>1.1235955056179775E-2</v>
      </c>
      <c r="AB269">
        <f t="shared" si="18"/>
        <v>40435</v>
      </c>
      <c r="AC269" s="17">
        <f t="shared" si="19"/>
        <v>3.1271582109267636E-2</v>
      </c>
    </row>
    <row r="270" spans="1:29" x14ac:dyDescent="0.25">
      <c r="A270" t="s">
        <v>342</v>
      </c>
      <c r="B270" s="1">
        <v>46386</v>
      </c>
      <c r="C270" s="1">
        <v>46049</v>
      </c>
      <c r="D270" t="s">
        <v>62</v>
      </c>
      <c r="E270" t="s">
        <v>36</v>
      </c>
      <c r="F270" t="s">
        <v>53</v>
      </c>
      <c r="G270" t="s">
        <v>47</v>
      </c>
      <c r="H270" t="s">
        <v>48</v>
      </c>
      <c r="I270" t="s">
        <v>39</v>
      </c>
      <c r="J270" t="s">
        <v>40</v>
      </c>
      <c r="K270" s="14" t="str">
        <f t="shared" si="16"/>
        <v>Cross River → Anambra</v>
      </c>
      <c r="L270" t="s">
        <v>41</v>
      </c>
      <c r="M270">
        <v>143</v>
      </c>
      <c r="N270">
        <v>137</v>
      </c>
      <c r="O270">
        <v>6</v>
      </c>
      <c r="P270">
        <v>722</v>
      </c>
      <c r="Q270" s="14" t="str">
        <f t="shared" si="17"/>
        <v>501–1,000 km</v>
      </c>
      <c r="R270" s="14" t="str">
        <f>IF(Table2[[#This Row],[Distance Bands]]="0–100 km","Short",
IF(Table2[[#This Row],[Distance Bands]]="101–250 km","Medium",
IF(Table2[[#This Row],[Distance Bands]]="251–500 km","Long",
IF(Table2[[#This Row],[Distance Bands]]="501–1,000 km","Very Long",
"Extreme"))))</f>
        <v>Very Long</v>
      </c>
      <c r="S270" s="13">
        <f>Table2[[#This Row],[Freight_Cost_NGN]]/Table2[[#This Row],[Distance_km]]</f>
        <v>2701.4182825484763</v>
      </c>
      <c r="T270">
        <v>5</v>
      </c>
      <c r="U270">
        <v>5</v>
      </c>
      <c r="V270" s="14">
        <f>Table2[[#This Row],[Actual_Transit_Days]]-Table2[[#This Row],[Planned_Transit_Days]]</f>
        <v>0</v>
      </c>
      <c r="W270">
        <v>1950424</v>
      </c>
      <c r="X270">
        <v>1911823</v>
      </c>
      <c r="Y270" t="s">
        <v>42</v>
      </c>
      <c r="Z270" s="14">
        <f>IF(Table2[[#This Row],[Delivery_Date]]&lt;=Table2[[#This Row],[Planned_Date]],1,0)</f>
        <v>1</v>
      </c>
      <c r="AA270" s="18">
        <f>Table2[[#This Row],[Units_Damaged]]/Table2[[#This Row],[Units_Shipped]]</f>
        <v>4.195804195804196E-2</v>
      </c>
      <c r="AB270">
        <f t="shared" si="18"/>
        <v>38601</v>
      </c>
      <c r="AC270" s="17">
        <f t="shared" si="19"/>
        <v>2.0190676647367459E-2</v>
      </c>
    </row>
    <row r="271" spans="1:29" x14ac:dyDescent="0.25">
      <c r="A271" t="s">
        <v>343</v>
      </c>
      <c r="B271" s="1">
        <v>46387</v>
      </c>
      <c r="C271" s="1">
        <v>46160</v>
      </c>
      <c r="D271" t="s">
        <v>44</v>
      </c>
      <c r="E271" t="s">
        <v>57</v>
      </c>
      <c r="F271" t="s">
        <v>37</v>
      </c>
      <c r="G271" t="s">
        <v>39</v>
      </c>
      <c r="H271" t="s">
        <v>40</v>
      </c>
      <c r="I271" t="s">
        <v>47</v>
      </c>
      <c r="J271" t="s">
        <v>48</v>
      </c>
      <c r="K271" s="14" t="str">
        <f t="shared" si="16"/>
        <v>Anambra → Cross River</v>
      </c>
      <c r="L271" t="s">
        <v>60</v>
      </c>
      <c r="M271">
        <v>125</v>
      </c>
      <c r="N271">
        <v>120</v>
      </c>
      <c r="O271">
        <v>5</v>
      </c>
      <c r="P271">
        <v>409</v>
      </c>
      <c r="Q271" s="14" t="str">
        <f t="shared" si="17"/>
        <v>251–500 km</v>
      </c>
      <c r="R271" s="14" t="str">
        <f>IF(Table2[[#This Row],[Distance Bands]]="0–100 km","Short",
IF(Table2[[#This Row],[Distance Bands]]="101–250 km","Medium",
IF(Table2[[#This Row],[Distance Bands]]="251–500 km","Long",
IF(Table2[[#This Row],[Distance Bands]]="501–1,000 km","Very Long",
"Extreme"))))</f>
        <v>Long</v>
      </c>
      <c r="S271" s="13">
        <f>Table2[[#This Row],[Freight_Cost_NGN]]/Table2[[#This Row],[Distance_km]]</f>
        <v>2062.6112469437653</v>
      </c>
      <c r="T271">
        <v>5</v>
      </c>
      <c r="U271">
        <v>5</v>
      </c>
      <c r="V271" s="14">
        <f>Table2[[#This Row],[Actual_Transit_Days]]-Table2[[#This Row],[Planned_Transit_Days]]</f>
        <v>0</v>
      </c>
      <c r="W271">
        <v>843608</v>
      </c>
      <c r="X271">
        <v>794996</v>
      </c>
      <c r="Y271" t="s">
        <v>42</v>
      </c>
      <c r="Z271" s="14">
        <f>IF(Table2[[#This Row],[Delivery_Date]]&lt;=Table2[[#This Row],[Planned_Date]],1,0)</f>
        <v>1</v>
      </c>
      <c r="AA271" s="18">
        <f>Table2[[#This Row],[Units_Damaged]]/Table2[[#This Row],[Units_Shipped]]</f>
        <v>0.04</v>
      </c>
      <c r="AB271">
        <f t="shared" si="18"/>
        <v>48612</v>
      </c>
      <c r="AC271" s="17">
        <f t="shared" si="19"/>
        <v>6.1147477471584763E-2</v>
      </c>
    </row>
    <row r="272" spans="1:29" x14ac:dyDescent="0.25">
      <c r="A272" t="s">
        <v>344</v>
      </c>
      <c r="B272" s="1">
        <v>46388</v>
      </c>
      <c r="C272" s="1">
        <v>46116</v>
      </c>
      <c r="D272" t="s">
        <v>35</v>
      </c>
      <c r="E272" t="s">
        <v>27</v>
      </c>
      <c r="F272" t="s">
        <v>63</v>
      </c>
      <c r="G272" t="s">
        <v>68</v>
      </c>
      <c r="H272" t="s">
        <v>69</v>
      </c>
      <c r="I272" t="s">
        <v>47</v>
      </c>
      <c r="J272" t="s">
        <v>48</v>
      </c>
      <c r="K272" s="14" t="str">
        <f t="shared" si="16"/>
        <v>Abia → Cross River</v>
      </c>
      <c r="L272" t="s">
        <v>41</v>
      </c>
      <c r="M272">
        <v>133</v>
      </c>
      <c r="N272">
        <v>130</v>
      </c>
      <c r="O272">
        <v>3</v>
      </c>
      <c r="P272">
        <v>220</v>
      </c>
      <c r="Q272" s="14" t="str">
        <f t="shared" si="17"/>
        <v>101–250 km</v>
      </c>
      <c r="R272" s="14" t="str">
        <f>IF(Table2[[#This Row],[Distance Bands]]="0–100 km","Short",
IF(Table2[[#This Row],[Distance Bands]]="101–250 km","Medium",
IF(Table2[[#This Row],[Distance Bands]]="251–500 km","Long",
IF(Table2[[#This Row],[Distance Bands]]="501–1,000 km","Very Long",
"Extreme"))))</f>
        <v>Medium</v>
      </c>
      <c r="S272" s="13">
        <f>Table2[[#This Row],[Freight_Cost_NGN]]/Table2[[#This Row],[Distance_km]]</f>
        <v>4635.5954545454542</v>
      </c>
      <c r="T272">
        <v>3</v>
      </c>
      <c r="U272">
        <v>6</v>
      </c>
      <c r="V272" s="14">
        <f>Table2[[#This Row],[Actual_Transit_Days]]-Table2[[#This Row],[Planned_Transit_Days]]</f>
        <v>3</v>
      </c>
      <c r="W272">
        <v>1019831</v>
      </c>
      <c r="X272">
        <v>1028664</v>
      </c>
      <c r="Y272" t="s">
        <v>33</v>
      </c>
      <c r="Z272" s="14">
        <f>IF(Table2[[#This Row],[Delivery_Date]]&lt;=Table2[[#This Row],[Planned_Date]],1,0)</f>
        <v>1</v>
      </c>
      <c r="AA272" s="18">
        <f>Table2[[#This Row],[Units_Damaged]]/Table2[[#This Row],[Units_Shipped]]</f>
        <v>2.2556390977443608E-2</v>
      </c>
      <c r="AB272">
        <f t="shared" si="18"/>
        <v>-8833</v>
      </c>
      <c r="AC272" s="17">
        <f t="shared" si="19"/>
        <v>-8.5868660709425039E-3</v>
      </c>
    </row>
    <row r="273" spans="1:29" x14ac:dyDescent="0.25">
      <c r="A273" t="s">
        <v>345</v>
      </c>
      <c r="B273" s="1">
        <v>46389</v>
      </c>
      <c r="C273" s="1">
        <v>46087</v>
      </c>
      <c r="D273" t="s">
        <v>35</v>
      </c>
      <c r="E273" t="s">
        <v>52</v>
      </c>
      <c r="F273" t="s">
        <v>63</v>
      </c>
      <c r="G273" t="s">
        <v>47</v>
      </c>
      <c r="H273" t="s">
        <v>48</v>
      </c>
      <c r="I273" t="s">
        <v>49</v>
      </c>
      <c r="J273" t="s">
        <v>50</v>
      </c>
      <c r="K273" s="14" t="str">
        <f t="shared" si="16"/>
        <v>Cross River → Niger</v>
      </c>
      <c r="L273" t="s">
        <v>41</v>
      </c>
      <c r="M273">
        <v>50</v>
      </c>
      <c r="N273">
        <v>50</v>
      </c>
      <c r="O273">
        <v>0</v>
      </c>
      <c r="P273">
        <v>568</v>
      </c>
      <c r="Q273" s="14" t="str">
        <f t="shared" si="17"/>
        <v>501–1,000 km</v>
      </c>
      <c r="R273" s="14" t="str">
        <f>IF(Table2[[#This Row],[Distance Bands]]="0–100 km","Short",
IF(Table2[[#This Row],[Distance Bands]]="101–250 km","Medium",
IF(Table2[[#This Row],[Distance Bands]]="251–500 km","Long",
IF(Table2[[#This Row],[Distance Bands]]="501–1,000 km","Very Long",
"Extreme"))))</f>
        <v>Very Long</v>
      </c>
      <c r="S273" s="13">
        <f>Table2[[#This Row],[Freight_Cost_NGN]]/Table2[[#This Row],[Distance_km]]</f>
        <v>1668.0774647887324</v>
      </c>
      <c r="T273">
        <v>6</v>
      </c>
      <c r="U273">
        <v>9</v>
      </c>
      <c r="V273" s="14">
        <f>Table2[[#This Row],[Actual_Transit_Days]]-Table2[[#This Row],[Planned_Transit_Days]]</f>
        <v>3</v>
      </c>
      <c r="W273">
        <v>947468</v>
      </c>
      <c r="X273">
        <v>1020680</v>
      </c>
      <c r="Y273" t="s">
        <v>33</v>
      </c>
      <c r="Z273" s="14">
        <f>IF(Table2[[#This Row],[Delivery_Date]]&lt;=Table2[[#This Row],[Planned_Date]],1,0)</f>
        <v>1</v>
      </c>
      <c r="AA273" s="18">
        <f>Table2[[#This Row],[Units_Damaged]]/Table2[[#This Row],[Units_Shipped]]</f>
        <v>0</v>
      </c>
      <c r="AB273">
        <f t="shared" si="18"/>
        <v>-73212</v>
      </c>
      <c r="AC273" s="17">
        <f t="shared" si="19"/>
        <v>-7.1728651487243791E-2</v>
      </c>
    </row>
    <row r="274" spans="1:29" x14ac:dyDescent="0.25">
      <c r="A274" t="s">
        <v>346</v>
      </c>
      <c r="B274" s="1">
        <v>46390</v>
      </c>
      <c r="C274" s="1">
        <v>46037</v>
      </c>
      <c r="D274" t="s">
        <v>35</v>
      </c>
      <c r="E274" t="s">
        <v>57</v>
      </c>
      <c r="F274" t="s">
        <v>46</v>
      </c>
      <c r="G274" t="s">
        <v>68</v>
      </c>
      <c r="H274" t="s">
        <v>69</v>
      </c>
      <c r="I274" t="s">
        <v>64</v>
      </c>
      <c r="J274" t="s">
        <v>65</v>
      </c>
      <c r="K274" s="14" t="str">
        <f t="shared" si="16"/>
        <v>Abia → Plateau</v>
      </c>
      <c r="L274" t="s">
        <v>32</v>
      </c>
      <c r="M274">
        <v>154</v>
      </c>
      <c r="N274">
        <v>148</v>
      </c>
      <c r="O274">
        <v>6</v>
      </c>
      <c r="P274">
        <v>449</v>
      </c>
      <c r="Q274" s="14" t="str">
        <f t="shared" si="17"/>
        <v>251–500 km</v>
      </c>
      <c r="R274" s="14" t="str">
        <f>IF(Table2[[#This Row],[Distance Bands]]="0–100 km","Short",
IF(Table2[[#This Row],[Distance Bands]]="101–250 km","Medium",
IF(Table2[[#This Row],[Distance Bands]]="251–500 km","Long",
IF(Table2[[#This Row],[Distance Bands]]="501–1,000 km","Very Long",
"Extreme"))))</f>
        <v>Long</v>
      </c>
      <c r="S274" s="13">
        <f>Table2[[#This Row],[Freight_Cost_NGN]]/Table2[[#This Row],[Distance_km]]</f>
        <v>1797.9265033407573</v>
      </c>
      <c r="T274">
        <v>4</v>
      </c>
      <c r="U274">
        <v>5</v>
      </c>
      <c r="V274" s="14">
        <f>Table2[[#This Row],[Actual_Transit_Days]]-Table2[[#This Row],[Planned_Transit_Days]]</f>
        <v>1</v>
      </c>
      <c r="W274">
        <v>807269</v>
      </c>
      <c r="X274">
        <v>881338</v>
      </c>
      <c r="Y274" t="s">
        <v>33</v>
      </c>
      <c r="Z274" s="14">
        <f>IF(Table2[[#This Row],[Delivery_Date]]&lt;=Table2[[#This Row],[Planned_Date]],1,0)</f>
        <v>1</v>
      </c>
      <c r="AA274" s="18">
        <f>Table2[[#This Row],[Units_Damaged]]/Table2[[#This Row],[Units_Shipped]]</f>
        <v>3.896103896103896E-2</v>
      </c>
      <c r="AB274">
        <f t="shared" si="18"/>
        <v>-74069</v>
      </c>
      <c r="AC274" s="17">
        <f t="shared" si="19"/>
        <v>-8.4041536845115047E-2</v>
      </c>
    </row>
    <row r="275" spans="1:29" x14ac:dyDescent="0.25">
      <c r="A275" t="s">
        <v>347</v>
      </c>
      <c r="B275" s="1">
        <v>46391</v>
      </c>
      <c r="C275" s="1">
        <v>46196</v>
      </c>
      <c r="D275" t="s">
        <v>77</v>
      </c>
      <c r="E275" t="s">
        <v>67</v>
      </c>
      <c r="F275" t="s">
        <v>46</v>
      </c>
      <c r="G275" t="s">
        <v>68</v>
      </c>
      <c r="H275" t="s">
        <v>69</v>
      </c>
      <c r="I275" t="s">
        <v>47</v>
      </c>
      <c r="J275" t="s">
        <v>48</v>
      </c>
      <c r="K275" s="14" t="str">
        <f t="shared" si="16"/>
        <v>Abia → Cross River</v>
      </c>
      <c r="L275" t="s">
        <v>41</v>
      </c>
      <c r="M275">
        <v>120</v>
      </c>
      <c r="N275">
        <v>117</v>
      </c>
      <c r="O275">
        <v>3</v>
      </c>
      <c r="P275">
        <v>519</v>
      </c>
      <c r="Q275" s="14" t="str">
        <f t="shared" si="17"/>
        <v>501–1,000 km</v>
      </c>
      <c r="R275" s="14" t="str">
        <f>IF(Table2[[#This Row],[Distance Bands]]="0–100 km","Short",
IF(Table2[[#This Row],[Distance Bands]]="101–250 km","Medium",
IF(Table2[[#This Row],[Distance Bands]]="251–500 km","Long",
IF(Table2[[#This Row],[Distance Bands]]="501–1,000 km","Very Long",
"Extreme"))))</f>
        <v>Very Long</v>
      </c>
      <c r="S275" s="13">
        <f>Table2[[#This Row],[Freight_Cost_NGN]]/Table2[[#This Row],[Distance_km]]</f>
        <v>1977.2716763005781</v>
      </c>
      <c r="T275">
        <v>3</v>
      </c>
      <c r="U275">
        <v>5</v>
      </c>
      <c r="V275" s="14">
        <f>Table2[[#This Row],[Actual_Transit_Days]]-Table2[[#This Row],[Planned_Transit_Days]]</f>
        <v>2</v>
      </c>
      <c r="W275">
        <v>1026204</v>
      </c>
      <c r="X275">
        <v>1032280</v>
      </c>
      <c r="Y275" t="s">
        <v>33</v>
      </c>
      <c r="Z275" s="14">
        <f>IF(Table2[[#This Row],[Delivery_Date]]&lt;=Table2[[#This Row],[Planned_Date]],1,0)</f>
        <v>1</v>
      </c>
      <c r="AA275" s="18">
        <f>Table2[[#This Row],[Units_Damaged]]/Table2[[#This Row],[Units_Shipped]]</f>
        <v>2.5000000000000001E-2</v>
      </c>
      <c r="AB275">
        <f t="shared" si="18"/>
        <v>-6076</v>
      </c>
      <c r="AC275" s="17">
        <f t="shared" si="19"/>
        <v>-5.8859999225016465E-3</v>
      </c>
    </row>
    <row r="276" spans="1:29" x14ac:dyDescent="0.25">
      <c r="A276" t="s">
        <v>348</v>
      </c>
      <c r="B276" s="1">
        <v>46392</v>
      </c>
      <c r="C276" s="1">
        <v>46158</v>
      </c>
      <c r="D276" t="s">
        <v>57</v>
      </c>
      <c r="E276" t="s">
        <v>103</v>
      </c>
      <c r="F276" t="s">
        <v>37</v>
      </c>
      <c r="G276" t="s">
        <v>54</v>
      </c>
      <c r="H276" t="s">
        <v>55</v>
      </c>
      <c r="I276" t="s">
        <v>72</v>
      </c>
      <c r="J276" t="s">
        <v>72</v>
      </c>
      <c r="K276" s="14" t="str">
        <f t="shared" si="16"/>
        <v>Rivers → Lagos</v>
      </c>
      <c r="L276" t="s">
        <v>41</v>
      </c>
      <c r="M276">
        <v>126</v>
      </c>
      <c r="N276">
        <v>123</v>
      </c>
      <c r="O276">
        <v>3</v>
      </c>
      <c r="P276">
        <v>674</v>
      </c>
      <c r="Q276" s="14" t="str">
        <f t="shared" si="17"/>
        <v>501–1,000 km</v>
      </c>
      <c r="R276" s="14" t="str">
        <f>IF(Table2[[#This Row],[Distance Bands]]="0–100 km","Short",
IF(Table2[[#This Row],[Distance Bands]]="101–250 km","Medium",
IF(Table2[[#This Row],[Distance Bands]]="251–500 km","Long",
IF(Table2[[#This Row],[Distance Bands]]="501–1,000 km","Very Long",
"Extreme"))))</f>
        <v>Very Long</v>
      </c>
      <c r="S276" s="13">
        <f>Table2[[#This Row],[Freight_Cost_NGN]]/Table2[[#This Row],[Distance_km]]</f>
        <v>2963</v>
      </c>
      <c r="T276">
        <v>2</v>
      </c>
      <c r="U276">
        <v>6</v>
      </c>
      <c r="V276" s="14">
        <f>Table2[[#This Row],[Actual_Transit_Days]]-Table2[[#This Row],[Planned_Transit_Days]]</f>
        <v>4</v>
      </c>
      <c r="W276">
        <v>1997062</v>
      </c>
      <c r="X276">
        <v>1884593</v>
      </c>
      <c r="Y276" t="s">
        <v>75</v>
      </c>
      <c r="Z276" s="14">
        <f>IF(Table2[[#This Row],[Delivery_Date]]&lt;=Table2[[#This Row],[Planned_Date]],1,0)</f>
        <v>1</v>
      </c>
      <c r="AA276" s="18">
        <f>Table2[[#This Row],[Units_Damaged]]/Table2[[#This Row],[Units_Shipped]]</f>
        <v>2.3809523809523808E-2</v>
      </c>
      <c r="AB276">
        <f t="shared" si="18"/>
        <v>112469</v>
      </c>
      <c r="AC276" s="17">
        <f t="shared" si="19"/>
        <v>5.9678137401550362E-2</v>
      </c>
    </row>
    <row r="277" spans="1:29" x14ac:dyDescent="0.25">
      <c r="A277" t="s">
        <v>349</v>
      </c>
      <c r="B277" s="1">
        <v>46393</v>
      </c>
      <c r="C277" s="1">
        <v>46160</v>
      </c>
      <c r="D277" t="s">
        <v>62</v>
      </c>
      <c r="E277" t="s">
        <v>67</v>
      </c>
      <c r="F277" t="s">
        <v>28</v>
      </c>
      <c r="G277" t="s">
        <v>91</v>
      </c>
      <c r="H277" t="s">
        <v>92</v>
      </c>
      <c r="I277" t="s">
        <v>47</v>
      </c>
      <c r="J277" t="s">
        <v>48</v>
      </c>
      <c r="K277" s="14" t="str">
        <f t="shared" si="16"/>
        <v>Delta → Cross River</v>
      </c>
      <c r="L277" t="s">
        <v>32</v>
      </c>
      <c r="M277">
        <v>141</v>
      </c>
      <c r="N277">
        <v>140</v>
      </c>
      <c r="O277">
        <v>1</v>
      </c>
      <c r="P277">
        <v>199</v>
      </c>
      <c r="Q277" s="14" t="str">
        <f t="shared" si="17"/>
        <v>101–250 km</v>
      </c>
      <c r="R277" s="14" t="str">
        <f>IF(Table2[[#This Row],[Distance Bands]]="0–100 km","Short",
IF(Table2[[#This Row],[Distance Bands]]="101–250 km","Medium",
IF(Table2[[#This Row],[Distance Bands]]="251–500 km","Long",
IF(Table2[[#This Row],[Distance Bands]]="501–1,000 km","Very Long",
"Extreme"))))</f>
        <v>Medium</v>
      </c>
      <c r="S277" s="13">
        <f>Table2[[#This Row],[Freight_Cost_NGN]]/Table2[[#This Row],[Distance_km]]</f>
        <v>6164.145728643216</v>
      </c>
      <c r="T277">
        <v>7</v>
      </c>
      <c r="U277">
        <v>8</v>
      </c>
      <c r="V277" s="14">
        <f>Table2[[#This Row],[Actual_Transit_Days]]-Table2[[#This Row],[Planned_Transit_Days]]</f>
        <v>1</v>
      </c>
      <c r="W277">
        <v>1226665</v>
      </c>
      <c r="X277">
        <v>1342331</v>
      </c>
      <c r="Y277" t="s">
        <v>33</v>
      </c>
      <c r="Z277" s="14">
        <f>IF(Table2[[#This Row],[Delivery_Date]]&lt;=Table2[[#This Row],[Planned_Date]],1,0)</f>
        <v>1</v>
      </c>
      <c r="AA277" s="18">
        <f>Table2[[#This Row],[Units_Damaged]]/Table2[[#This Row],[Units_Shipped]]</f>
        <v>7.0921985815602835E-3</v>
      </c>
      <c r="AB277">
        <f t="shared" si="18"/>
        <v>-115666</v>
      </c>
      <c r="AC277" s="17">
        <f t="shared" si="19"/>
        <v>-8.6168016681429538E-2</v>
      </c>
    </row>
    <row r="278" spans="1:29" x14ac:dyDescent="0.25">
      <c r="A278" t="s">
        <v>350</v>
      </c>
      <c r="B278" s="1">
        <v>46394</v>
      </c>
      <c r="C278" s="1">
        <v>46160</v>
      </c>
      <c r="D278" t="s">
        <v>44</v>
      </c>
      <c r="E278" t="s">
        <v>52</v>
      </c>
      <c r="F278" t="s">
        <v>63</v>
      </c>
      <c r="G278" t="s">
        <v>73</v>
      </c>
      <c r="H278" t="s">
        <v>74</v>
      </c>
      <c r="I278" t="s">
        <v>68</v>
      </c>
      <c r="J278" t="s">
        <v>69</v>
      </c>
      <c r="K278" s="14" t="str">
        <f t="shared" si="16"/>
        <v>Oyo → Abia</v>
      </c>
      <c r="L278" t="s">
        <v>41</v>
      </c>
      <c r="M278">
        <v>52</v>
      </c>
      <c r="N278">
        <v>50</v>
      </c>
      <c r="O278">
        <v>2</v>
      </c>
      <c r="P278">
        <v>457</v>
      </c>
      <c r="Q278" s="14" t="str">
        <f t="shared" si="17"/>
        <v>251–500 km</v>
      </c>
      <c r="R278" s="14" t="str">
        <f>IF(Table2[[#This Row],[Distance Bands]]="0–100 km","Short",
IF(Table2[[#This Row],[Distance Bands]]="101–250 km","Medium",
IF(Table2[[#This Row],[Distance Bands]]="251–500 km","Long",
IF(Table2[[#This Row],[Distance Bands]]="501–1,000 km","Very Long",
"Extreme"))))</f>
        <v>Long</v>
      </c>
      <c r="S278" s="13">
        <f>Table2[[#This Row],[Freight_Cost_NGN]]/Table2[[#This Row],[Distance_km]]</f>
        <v>1538.6564551422318</v>
      </c>
      <c r="T278">
        <v>4</v>
      </c>
      <c r="U278">
        <v>5</v>
      </c>
      <c r="V278" s="14">
        <f>Table2[[#This Row],[Actual_Transit_Days]]-Table2[[#This Row],[Planned_Transit_Days]]</f>
        <v>1</v>
      </c>
      <c r="W278">
        <v>703166</v>
      </c>
      <c r="X278">
        <v>694335</v>
      </c>
      <c r="Y278" t="s">
        <v>33</v>
      </c>
      <c r="Z278" s="14">
        <f>IF(Table2[[#This Row],[Delivery_Date]]&lt;=Table2[[#This Row],[Planned_Date]],1,0)</f>
        <v>1</v>
      </c>
      <c r="AA278" s="18">
        <f>Table2[[#This Row],[Units_Damaged]]/Table2[[#This Row],[Units_Shipped]]</f>
        <v>3.8461538461538464E-2</v>
      </c>
      <c r="AB278">
        <f t="shared" si="18"/>
        <v>8831</v>
      </c>
      <c r="AC278" s="17">
        <f t="shared" si="19"/>
        <v>1.2718644458366639E-2</v>
      </c>
    </row>
    <row r="279" spans="1:29" x14ac:dyDescent="0.25">
      <c r="A279" t="s">
        <v>351</v>
      </c>
      <c r="B279" s="1">
        <v>46395</v>
      </c>
      <c r="C279" s="1">
        <v>46082</v>
      </c>
      <c r="D279" t="s">
        <v>62</v>
      </c>
      <c r="E279" t="s">
        <v>27</v>
      </c>
      <c r="F279" t="s">
        <v>37</v>
      </c>
      <c r="G279" t="s">
        <v>88</v>
      </c>
      <c r="H279" t="s">
        <v>89</v>
      </c>
      <c r="I279" t="s">
        <v>49</v>
      </c>
      <c r="J279" t="s">
        <v>50</v>
      </c>
      <c r="K279" s="14" t="str">
        <f t="shared" si="16"/>
        <v>Edo → Niger</v>
      </c>
      <c r="L279" t="s">
        <v>41</v>
      </c>
      <c r="M279">
        <v>107</v>
      </c>
      <c r="N279">
        <v>104</v>
      </c>
      <c r="O279">
        <v>3</v>
      </c>
      <c r="P279">
        <v>845</v>
      </c>
      <c r="Q279" s="14" t="str">
        <f t="shared" si="17"/>
        <v>501–1,000 km</v>
      </c>
      <c r="R279" s="14" t="str">
        <f>IF(Table2[[#This Row],[Distance Bands]]="0–100 km","Short",
IF(Table2[[#This Row],[Distance Bands]]="101–250 km","Medium",
IF(Table2[[#This Row],[Distance Bands]]="251–500 km","Long",
IF(Table2[[#This Row],[Distance Bands]]="501–1,000 km","Very Long",
"Extreme"))))</f>
        <v>Very Long</v>
      </c>
      <c r="S279" s="13">
        <f>Table2[[#This Row],[Freight_Cost_NGN]]/Table2[[#This Row],[Distance_km]]</f>
        <v>984.13491124260349</v>
      </c>
      <c r="T279">
        <v>4</v>
      </c>
      <c r="U279">
        <v>7</v>
      </c>
      <c r="V279" s="14">
        <f>Table2[[#This Row],[Actual_Transit_Days]]-Table2[[#This Row],[Planned_Transit_Days]]</f>
        <v>3</v>
      </c>
      <c r="W279">
        <v>831594</v>
      </c>
      <c r="X279">
        <v>866743</v>
      </c>
      <c r="Y279" t="s">
        <v>33</v>
      </c>
      <c r="Z279" s="14">
        <f>IF(Table2[[#This Row],[Delivery_Date]]&lt;=Table2[[#This Row],[Planned_Date]],1,0)</f>
        <v>1</v>
      </c>
      <c r="AA279" s="18">
        <f>Table2[[#This Row],[Units_Damaged]]/Table2[[#This Row],[Units_Shipped]]</f>
        <v>2.8037383177570093E-2</v>
      </c>
      <c r="AB279">
        <f t="shared" si="18"/>
        <v>-35149</v>
      </c>
      <c r="AC279" s="17">
        <f t="shared" si="19"/>
        <v>-4.0552966681011555E-2</v>
      </c>
    </row>
    <row r="280" spans="1:29" x14ac:dyDescent="0.25">
      <c r="A280" t="s">
        <v>352</v>
      </c>
      <c r="B280" s="1">
        <v>46396</v>
      </c>
      <c r="C280" s="1">
        <v>46173</v>
      </c>
      <c r="D280" t="s">
        <v>57</v>
      </c>
      <c r="E280" t="s">
        <v>45</v>
      </c>
      <c r="F280" t="s">
        <v>37</v>
      </c>
      <c r="G280" t="s">
        <v>49</v>
      </c>
      <c r="H280" t="s">
        <v>50</v>
      </c>
      <c r="I280" t="s">
        <v>39</v>
      </c>
      <c r="J280" t="s">
        <v>40</v>
      </c>
      <c r="K280" s="14" t="str">
        <f t="shared" si="16"/>
        <v>Niger → Anambra</v>
      </c>
      <c r="L280" t="s">
        <v>32</v>
      </c>
      <c r="M280">
        <v>124</v>
      </c>
      <c r="N280">
        <v>120</v>
      </c>
      <c r="O280">
        <v>4</v>
      </c>
      <c r="P280">
        <v>848</v>
      </c>
      <c r="Q280" s="14" t="str">
        <f t="shared" si="17"/>
        <v>501–1,000 km</v>
      </c>
      <c r="R280" s="14" t="str">
        <f>IF(Table2[[#This Row],[Distance Bands]]="0–100 km","Short",
IF(Table2[[#This Row],[Distance Bands]]="101–250 km","Medium",
IF(Table2[[#This Row],[Distance Bands]]="251–500 km","Long",
IF(Table2[[#This Row],[Distance Bands]]="501–1,000 km","Very Long",
"Extreme"))))</f>
        <v>Very Long</v>
      </c>
      <c r="S280" s="13">
        <f>Table2[[#This Row],[Freight_Cost_NGN]]/Table2[[#This Row],[Distance_km]]</f>
        <v>1470.8867924528302</v>
      </c>
      <c r="T280">
        <v>1</v>
      </c>
      <c r="U280">
        <v>3</v>
      </c>
      <c r="V280" s="14">
        <f>Table2[[#This Row],[Actual_Transit_Days]]-Table2[[#This Row],[Planned_Transit_Days]]</f>
        <v>2</v>
      </c>
      <c r="W280">
        <v>1247312</v>
      </c>
      <c r="X280">
        <v>1352432</v>
      </c>
      <c r="Y280" t="s">
        <v>33</v>
      </c>
      <c r="Z280" s="14">
        <f>IF(Table2[[#This Row],[Delivery_Date]]&lt;=Table2[[#This Row],[Planned_Date]],1,0)</f>
        <v>1</v>
      </c>
      <c r="AA280" s="18">
        <f>Table2[[#This Row],[Units_Damaged]]/Table2[[#This Row],[Units_Shipped]]</f>
        <v>3.2258064516129031E-2</v>
      </c>
      <c r="AB280">
        <f t="shared" si="18"/>
        <v>-105120</v>
      </c>
      <c r="AC280" s="17">
        <f t="shared" si="19"/>
        <v>-7.7726643557679789E-2</v>
      </c>
    </row>
    <row r="281" spans="1:29" x14ac:dyDescent="0.25">
      <c r="A281" t="s">
        <v>353</v>
      </c>
      <c r="B281" s="1">
        <v>46397</v>
      </c>
      <c r="C281" s="1">
        <v>46228</v>
      </c>
      <c r="D281" t="s">
        <v>77</v>
      </c>
      <c r="E281" t="s">
        <v>57</v>
      </c>
      <c r="F281" t="s">
        <v>53</v>
      </c>
      <c r="G281" t="s">
        <v>91</v>
      </c>
      <c r="H281" t="s">
        <v>92</v>
      </c>
      <c r="I281" t="s">
        <v>64</v>
      </c>
      <c r="J281" t="s">
        <v>65</v>
      </c>
      <c r="K281" s="14" t="str">
        <f t="shared" si="16"/>
        <v>Delta → Plateau</v>
      </c>
      <c r="L281" t="s">
        <v>41</v>
      </c>
      <c r="M281">
        <v>19</v>
      </c>
      <c r="N281">
        <v>19</v>
      </c>
      <c r="O281">
        <v>0</v>
      </c>
      <c r="P281">
        <v>163</v>
      </c>
      <c r="Q281" s="14" t="str">
        <f t="shared" si="17"/>
        <v>101–250 km</v>
      </c>
      <c r="R281" s="14" t="str">
        <f>IF(Table2[[#This Row],[Distance Bands]]="0–100 km","Short",
IF(Table2[[#This Row],[Distance Bands]]="101–250 km","Medium",
IF(Table2[[#This Row],[Distance Bands]]="251–500 km","Long",
IF(Table2[[#This Row],[Distance Bands]]="501–1,000 km","Very Long",
"Extreme"))))</f>
        <v>Medium</v>
      </c>
      <c r="S281" s="13">
        <f>Table2[[#This Row],[Freight_Cost_NGN]]/Table2[[#This Row],[Distance_km]]</f>
        <v>1542.2883435582821</v>
      </c>
      <c r="T281">
        <v>3</v>
      </c>
      <c r="U281">
        <v>3</v>
      </c>
      <c r="V281" s="14">
        <f>Table2[[#This Row],[Actual_Transit_Days]]-Table2[[#This Row],[Planned_Transit_Days]]</f>
        <v>0</v>
      </c>
      <c r="W281">
        <v>251393</v>
      </c>
      <c r="X281">
        <v>250780</v>
      </c>
      <c r="Y281" t="s">
        <v>42</v>
      </c>
      <c r="Z281" s="14">
        <f>IF(Table2[[#This Row],[Delivery_Date]]&lt;=Table2[[#This Row],[Planned_Date]],1,0)</f>
        <v>1</v>
      </c>
      <c r="AA281" s="18">
        <f>Table2[[#This Row],[Units_Damaged]]/Table2[[#This Row],[Units_Shipped]]</f>
        <v>0</v>
      </c>
      <c r="AB281">
        <f t="shared" si="18"/>
        <v>613</v>
      </c>
      <c r="AC281" s="17">
        <f t="shared" si="19"/>
        <v>2.444373554509929E-3</v>
      </c>
    </row>
    <row r="282" spans="1:29" x14ac:dyDescent="0.25">
      <c r="A282" t="s">
        <v>354</v>
      </c>
      <c r="B282" s="1">
        <v>46398</v>
      </c>
      <c r="C282" s="1">
        <v>46076</v>
      </c>
      <c r="D282" t="s">
        <v>57</v>
      </c>
      <c r="E282" t="s">
        <v>36</v>
      </c>
      <c r="F282" t="s">
        <v>37</v>
      </c>
      <c r="G282" t="s">
        <v>30</v>
      </c>
      <c r="H282" t="s">
        <v>31</v>
      </c>
      <c r="I282" t="s">
        <v>64</v>
      </c>
      <c r="J282" t="s">
        <v>65</v>
      </c>
      <c r="K282" s="14" t="str">
        <f t="shared" si="16"/>
        <v>Kwara → Plateau</v>
      </c>
      <c r="L282" t="s">
        <v>41</v>
      </c>
      <c r="M282">
        <v>49</v>
      </c>
      <c r="N282">
        <v>47</v>
      </c>
      <c r="O282">
        <v>2</v>
      </c>
      <c r="P282">
        <v>359</v>
      </c>
      <c r="Q282" s="14" t="str">
        <f t="shared" si="17"/>
        <v>251–500 km</v>
      </c>
      <c r="R282" s="14" t="str">
        <f>IF(Table2[[#This Row],[Distance Bands]]="0–100 km","Short",
IF(Table2[[#This Row],[Distance Bands]]="101–250 km","Medium",
IF(Table2[[#This Row],[Distance Bands]]="251–500 km","Long",
IF(Table2[[#This Row],[Distance Bands]]="501–1,000 km","Very Long",
"Extreme"))))</f>
        <v>Long</v>
      </c>
      <c r="S282" s="13">
        <f>Table2[[#This Row],[Freight_Cost_NGN]]/Table2[[#This Row],[Distance_km]]</f>
        <v>1283.682451253482</v>
      </c>
      <c r="T282">
        <v>1</v>
      </c>
      <c r="U282">
        <v>1</v>
      </c>
      <c r="V282" s="14">
        <f>Table2[[#This Row],[Actual_Transit_Days]]-Table2[[#This Row],[Planned_Transit_Days]]</f>
        <v>0</v>
      </c>
      <c r="W282">
        <v>460842</v>
      </c>
      <c r="X282">
        <v>510847</v>
      </c>
      <c r="Y282" t="s">
        <v>42</v>
      </c>
      <c r="Z282" s="14">
        <f>IF(Table2[[#This Row],[Delivery_Date]]&lt;=Table2[[#This Row],[Planned_Date]],1,0)</f>
        <v>1</v>
      </c>
      <c r="AA282" s="18">
        <f>Table2[[#This Row],[Units_Damaged]]/Table2[[#This Row],[Units_Shipped]]</f>
        <v>4.0816326530612242E-2</v>
      </c>
      <c r="AB282">
        <f t="shared" si="18"/>
        <v>-50005</v>
      </c>
      <c r="AC282" s="17">
        <f t="shared" si="19"/>
        <v>-9.7886451324956394E-2</v>
      </c>
    </row>
    <row r="283" spans="1:29" x14ac:dyDescent="0.25">
      <c r="A283" t="s">
        <v>355</v>
      </c>
      <c r="B283" s="1">
        <v>46399</v>
      </c>
      <c r="C283" s="1">
        <v>46096</v>
      </c>
      <c r="D283" t="s">
        <v>44</v>
      </c>
      <c r="E283" t="s">
        <v>103</v>
      </c>
      <c r="F283" t="s">
        <v>46</v>
      </c>
      <c r="G283" t="s">
        <v>91</v>
      </c>
      <c r="H283" t="s">
        <v>92</v>
      </c>
      <c r="I283" t="s">
        <v>54</v>
      </c>
      <c r="J283" t="s">
        <v>55</v>
      </c>
      <c r="K283" s="14" t="str">
        <f t="shared" si="16"/>
        <v>Delta → Rivers</v>
      </c>
      <c r="L283" t="s">
        <v>41</v>
      </c>
      <c r="M283">
        <v>136</v>
      </c>
      <c r="N283">
        <v>132</v>
      </c>
      <c r="O283">
        <v>4</v>
      </c>
      <c r="P283">
        <v>531</v>
      </c>
      <c r="Q283" s="14" t="str">
        <f t="shared" si="17"/>
        <v>501–1,000 km</v>
      </c>
      <c r="R283" s="14" t="str">
        <f>IF(Table2[[#This Row],[Distance Bands]]="0–100 km","Short",
IF(Table2[[#This Row],[Distance Bands]]="101–250 km","Medium",
IF(Table2[[#This Row],[Distance Bands]]="251–500 km","Long",
IF(Table2[[#This Row],[Distance Bands]]="501–1,000 km","Very Long",
"Extreme"))))</f>
        <v>Very Long</v>
      </c>
      <c r="S283" s="13">
        <f>Table2[[#This Row],[Freight_Cost_NGN]]/Table2[[#This Row],[Distance_km]]</f>
        <v>3655.6591337099812</v>
      </c>
      <c r="T283">
        <v>4</v>
      </c>
      <c r="U283">
        <v>6</v>
      </c>
      <c r="V283" s="14">
        <f>Table2[[#This Row],[Actual_Transit_Days]]-Table2[[#This Row],[Planned_Transit_Days]]</f>
        <v>2</v>
      </c>
      <c r="W283">
        <v>1941155</v>
      </c>
      <c r="X283">
        <v>1803456</v>
      </c>
      <c r="Y283" t="s">
        <v>33</v>
      </c>
      <c r="Z283" s="14">
        <f>IF(Table2[[#This Row],[Delivery_Date]]&lt;=Table2[[#This Row],[Planned_Date]],1,0)</f>
        <v>1</v>
      </c>
      <c r="AA283" s="18">
        <f>Table2[[#This Row],[Units_Damaged]]/Table2[[#This Row],[Units_Shipped]]</f>
        <v>2.9411764705882353E-2</v>
      </c>
      <c r="AB283">
        <f t="shared" si="18"/>
        <v>137699</v>
      </c>
      <c r="AC283" s="17">
        <f t="shared" si="19"/>
        <v>7.6352846978246208E-2</v>
      </c>
    </row>
    <row r="284" spans="1:29" x14ac:dyDescent="0.25">
      <c r="A284" t="s">
        <v>356</v>
      </c>
      <c r="B284" s="1">
        <v>46400</v>
      </c>
      <c r="C284" s="1">
        <v>46193</v>
      </c>
      <c r="D284" t="s">
        <v>62</v>
      </c>
      <c r="E284" t="s">
        <v>103</v>
      </c>
      <c r="F284" t="s">
        <v>28</v>
      </c>
      <c r="G284" t="s">
        <v>64</v>
      </c>
      <c r="H284" t="s">
        <v>65</v>
      </c>
      <c r="I284" t="s">
        <v>39</v>
      </c>
      <c r="J284" t="s">
        <v>40</v>
      </c>
      <c r="K284" s="14" t="str">
        <f t="shared" si="16"/>
        <v>Plateau → Anambra</v>
      </c>
      <c r="L284" t="s">
        <v>32</v>
      </c>
      <c r="M284">
        <v>52</v>
      </c>
      <c r="N284">
        <v>51</v>
      </c>
      <c r="O284">
        <v>1</v>
      </c>
      <c r="P284">
        <v>433</v>
      </c>
      <c r="Q284" s="14" t="str">
        <f t="shared" si="17"/>
        <v>251–500 km</v>
      </c>
      <c r="R284" s="14" t="str">
        <f>IF(Table2[[#This Row],[Distance Bands]]="0–100 km","Short",
IF(Table2[[#This Row],[Distance Bands]]="101–250 km","Medium",
IF(Table2[[#This Row],[Distance Bands]]="251–500 km","Long",
IF(Table2[[#This Row],[Distance Bands]]="501–1,000 km","Very Long",
"Extreme"))))</f>
        <v>Long</v>
      </c>
      <c r="S284" s="13">
        <f>Table2[[#This Row],[Freight_Cost_NGN]]/Table2[[#This Row],[Distance_km]]</f>
        <v>1521.5011547344111</v>
      </c>
      <c r="T284">
        <v>5</v>
      </c>
      <c r="U284">
        <v>8</v>
      </c>
      <c r="V284" s="14">
        <f>Table2[[#This Row],[Actual_Transit_Days]]-Table2[[#This Row],[Planned_Transit_Days]]</f>
        <v>3</v>
      </c>
      <c r="W284">
        <v>658810</v>
      </c>
      <c r="X284">
        <v>683016</v>
      </c>
      <c r="Y284" t="s">
        <v>33</v>
      </c>
      <c r="Z284" s="14">
        <f>IF(Table2[[#This Row],[Delivery_Date]]&lt;=Table2[[#This Row],[Planned_Date]],1,0)</f>
        <v>1</v>
      </c>
      <c r="AA284" s="18">
        <f>Table2[[#This Row],[Units_Damaged]]/Table2[[#This Row],[Units_Shipped]]</f>
        <v>1.9230769230769232E-2</v>
      </c>
      <c r="AB284">
        <f t="shared" si="18"/>
        <v>-24206</v>
      </c>
      <c r="AC284" s="17">
        <f t="shared" si="19"/>
        <v>-3.5439872565210771E-2</v>
      </c>
    </row>
    <row r="285" spans="1:29" x14ac:dyDescent="0.25">
      <c r="A285" t="s">
        <v>357</v>
      </c>
      <c r="B285" s="1">
        <v>46401</v>
      </c>
      <c r="C285" s="1">
        <v>46130</v>
      </c>
      <c r="D285" t="s">
        <v>57</v>
      </c>
      <c r="E285" t="s">
        <v>27</v>
      </c>
      <c r="F285" t="s">
        <v>28</v>
      </c>
      <c r="G285" t="s">
        <v>30</v>
      </c>
      <c r="H285" t="s">
        <v>31</v>
      </c>
      <c r="I285" t="s">
        <v>72</v>
      </c>
      <c r="J285" t="s">
        <v>72</v>
      </c>
      <c r="K285" s="14" t="str">
        <f t="shared" si="16"/>
        <v>Kwara → Lagos</v>
      </c>
      <c r="L285" t="s">
        <v>32</v>
      </c>
      <c r="M285">
        <v>33</v>
      </c>
      <c r="N285">
        <v>32</v>
      </c>
      <c r="O285">
        <v>1</v>
      </c>
      <c r="P285">
        <v>595</v>
      </c>
      <c r="Q285" s="14" t="str">
        <f t="shared" si="17"/>
        <v>501–1,000 km</v>
      </c>
      <c r="R285" s="14" t="str">
        <f>IF(Table2[[#This Row],[Distance Bands]]="0–100 km","Short",
IF(Table2[[#This Row],[Distance Bands]]="101–250 km","Medium",
IF(Table2[[#This Row],[Distance Bands]]="251–500 km","Long",
IF(Table2[[#This Row],[Distance Bands]]="501–1,000 km","Very Long",
"Extreme"))))</f>
        <v>Very Long</v>
      </c>
      <c r="S285" s="13">
        <f>Table2[[#This Row],[Freight_Cost_NGN]]/Table2[[#This Row],[Distance_km]]</f>
        <v>750.03193277310925</v>
      </c>
      <c r="T285">
        <v>4</v>
      </c>
      <c r="U285">
        <v>5</v>
      </c>
      <c r="V285" s="14">
        <f>Table2[[#This Row],[Actual_Transit_Days]]-Table2[[#This Row],[Planned_Transit_Days]]</f>
        <v>1</v>
      </c>
      <c r="W285">
        <v>446269</v>
      </c>
      <c r="X285">
        <v>427969</v>
      </c>
      <c r="Y285" t="s">
        <v>33</v>
      </c>
      <c r="Z285" s="14">
        <f>IF(Table2[[#This Row],[Delivery_Date]]&lt;=Table2[[#This Row],[Planned_Date]],1,0)</f>
        <v>1</v>
      </c>
      <c r="AA285" s="18">
        <f>Table2[[#This Row],[Units_Damaged]]/Table2[[#This Row],[Units_Shipped]]</f>
        <v>3.0303030303030304E-2</v>
      </c>
      <c r="AB285">
        <f t="shared" si="18"/>
        <v>18300</v>
      </c>
      <c r="AC285" s="17">
        <f t="shared" si="19"/>
        <v>4.2760106456308754E-2</v>
      </c>
    </row>
    <row r="286" spans="1:29" x14ac:dyDescent="0.25">
      <c r="A286" t="s">
        <v>358</v>
      </c>
      <c r="B286" s="1">
        <v>46402</v>
      </c>
      <c r="C286" s="1">
        <v>46261</v>
      </c>
      <c r="D286" t="s">
        <v>57</v>
      </c>
      <c r="E286" t="s">
        <v>52</v>
      </c>
      <c r="F286" t="s">
        <v>63</v>
      </c>
      <c r="G286" t="s">
        <v>30</v>
      </c>
      <c r="H286" t="s">
        <v>31</v>
      </c>
      <c r="I286" t="s">
        <v>49</v>
      </c>
      <c r="J286" t="s">
        <v>50</v>
      </c>
      <c r="K286" s="14" t="str">
        <f t="shared" si="16"/>
        <v>Kwara → Niger</v>
      </c>
      <c r="L286" t="s">
        <v>41</v>
      </c>
      <c r="M286">
        <v>80</v>
      </c>
      <c r="N286">
        <v>78</v>
      </c>
      <c r="O286">
        <v>2</v>
      </c>
      <c r="P286">
        <v>706</v>
      </c>
      <c r="Q286" s="14" t="str">
        <f t="shared" si="17"/>
        <v>501–1,000 km</v>
      </c>
      <c r="R286" s="14" t="str">
        <f>IF(Table2[[#This Row],[Distance Bands]]="0–100 km","Short",
IF(Table2[[#This Row],[Distance Bands]]="101–250 km","Medium",
IF(Table2[[#This Row],[Distance Bands]]="251–500 km","Long",
IF(Table2[[#This Row],[Distance Bands]]="501–1,000 km","Very Long",
"Extreme"))))</f>
        <v>Very Long</v>
      </c>
      <c r="S286" s="13">
        <f>Table2[[#This Row],[Freight_Cost_NGN]]/Table2[[#This Row],[Distance_km]]</f>
        <v>1326.328611898017</v>
      </c>
      <c r="T286">
        <v>4</v>
      </c>
      <c r="U286">
        <v>6</v>
      </c>
      <c r="V286" s="14">
        <f>Table2[[#This Row],[Actual_Transit_Days]]-Table2[[#This Row],[Planned_Transit_Days]]</f>
        <v>2</v>
      </c>
      <c r="W286">
        <v>936388</v>
      </c>
      <c r="X286">
        <v>994964</v>
      </c>
      <c r="Y286" t="s">
        <v>33</v>
      </c>
      <c r="Z286" s="14">
        <f>IF(Table2[[#This Row],[Delivery_Date]]&lt;=Table2[[#This Row],[Planned_Date]],1,0)</f>
        <v>1</v>
      </c>
      <c r="AA286" s="18">
        <f>Table2[[#This Row],[Units_Damaged]]/Table2[[#This Row],[Units_Shipped]]</f>
        <v>2.5000000000000001E-2</v>
      </c>
      <c r="AB286">
        <f t="shared" si="18"/>
        <v>-58576</v>
      </c>
      <c r="AC286" s="17">
        <f t="shared" si="19"/>
        <v>-5.8872481818437655E-2</v>
      </c>
    </row>
    <row r="287" spans="1:29" x14ac:dyDescent="0.25">
      <c r="A287" t="s">
        <v>359</v>
      </c>
      <c r="B287" s="1">
        <v>46403</v>
      </c>
      <c r="C287" s="1">
        <v>46128</v>
      </c>
      <c r="D287" t="s">
        <v>26</v>
      </c>
      <c r="E287" t="s">
        <v>85</v>
      </c>
      <c r="F287" t="s">
        <v>46</v>
      </c>
      <c r="G287" t="s">
        <v>80</v>
      </c>
      <c r="H287" t="s">
        <v>80</v>
      </c>
      <c r="I287" t="s">
        <v>58</v>
      </c>
      <c r="J287" t="s">
        <v>59</v>
      </c>
      <c r="K287" s="14" t="str">
        <f t="shared" si="16"/>
        <v>Enugu → Ogun</v>
      </c>
      <c r="L287" t="s">
        <v>41</v>
      </c>
      <c r="M287">
        <v>143</v>
      </c>
      <c r="N287">
        <v>141</v>
      </c>
      <c r="O287">
        <v>2</v>
      </c>
      <c r="P287">
        <v>231</v>
      </c>
      <c r="Q287" s="14" t="str">
        <f t="shared" si="17"/>
        <v>101–250 km</v>
      </c>
      <c r="R287" s="14" t="str">
        <f>IF(Table2[[#This Row],[Distance Bands]]="0–100 km","Short",
IF(Table2[[#This Row],[Distance Bands]]="101–250 km","Medium",
IF(Table2[[#This Row],[Distance Bands]]="251–500 km","Long",
IF(Table2[[#This Row],[Distance Bands]]="501–1,000 km","Very Long",
"Extreme"))))</f>
        <v>Medium</v>
      </c>
      <c r="S287" s="13">
        <f>Table2[[#This Row],[Freight_Cost_NGN]]/Table2[[#This Row],[Distance_km]]</f>
        <v>6392.6190476190477</v>
      </c>
      <c r="T287">
        <v>6</v>
      </c>
      <c r="U287">
        <v>8</v>
      </c>
      <c r="V287" s="14">
        <f>Table2[[#This Row],[Actual_Transit_Days]]-Table2[[#This Row],[Planned_Transit_Days]]</f>
        <v>2</v>
      </c>
      <c r="W287">
        <v>1476695</v>
      </c>
      <c r="X287">
        <v>1531234</v>
      </c>
      <c r="Y287" t="s">
        <v>33</v>
      </c>
      <c r="Z287" s="14">
        <f>IF(Table2[[#This Row],[Delivery_Date]]&lt;=Table2[[#This Row],[Planned_Date]],1,0)</f>
        <v>1</v>
      </c>
      <c r="AA287" s="18">
        <f>Table2[[#This Row],[Units_Damaged]]/Table2[[#This Row],[Units_Shipped]]</f>
        <v>1.3986013986013986E-2</v>
      </c>
      <c r="AB287">
        <f t="shared" si="18"/>
        <v>-54539</v>
      </c>
      <c r="AC287" s="17">
        <f t="shared" si="19"/>
        <v>-3.5617678290842551E-2</v>
      </c>
    </row>
    <row r="288" spans="1:29" x14ac:dyDescent="0.25">
      <c r="A288" t="s">
        <v>360</v>
      </c>
      <c r="B288" s="1">
        <v>46404</v>
      </c>
      <c r="C288" s="1">
        <v>46271</v>
      </c>
      <c r="D288" t="s">
        <v>57</v>
      </c>
      <c r="E288" t="s">
        <v>45</v>
      </c>
      <c r="F288" t="s">
        <v>28</v>
      </c>
      <c r="G288" t="s">
        <v>54</v>
      </c>
      <c r="H288" t="s">
        <v>55</v>
      </c>
      <c r="I288" t="s">
        <v>91</v>
      </c>
      <c r="J288" t="s">
        <v>92</v>
      </c>
      <c r="K288" s="14" t="str">
        <f t="shared" si="16"/>
        <v>Rivers → Delta</v>
      </c>
      <c r="L288" t="s">
        <v>41</v>
      </c>
      <c r="M288">
        <v>65</v>
      </c>
      <c r="N288">
        <v>65</v>
      </c>
      <c r="O288">
        <v>0</v>
      </c>
      <c r="P288">
        <v>153</v>
      </c>
      <c r="Q288" s="14" t="str">
        <f t="shared" si="17"/>
        <v>101–250 km</v>
      </c>
      <c r="R288" s="14" t="str">
        <f>IF(Table2[[#This Row],[Distance Bands]]="0–100 km","Short",
IF(Table2[[#This Row],[Distance Bands]]="101–250 km","Medium",
IF(Table2[[#This Row],[Distance Bands]]="251–500 km","Long",
IF(Table2[[#This Row],[Distance Bands]]="501–1,000 km","Very Long",
"Extreme"))))</f>
        <v>Medium</v>
      </c>
      <c r="S288" s="13">
        <f>Table2[[#This Row],[Freight_Cost_NGN]]/Table2[[#This Row],[Distance_km]]</f>
        <v>4812.9411764705883</v>
      </c>
      <c r="T288">
        <v>4</v>
      </c>
      <c r="U288">
        <v>6</v>
      </c>
      <c r="V288" s="14">
        <f>Table2[[#This Row],[Actual_Transit_Days]]-Table2[[#This Row],[Planned_Transit_Days]]</f>
        <v>2</v>
      </c>
      <c r="W288">
        <v>736380</v>
      </c>
      <c r="X288">
        <v>745675</v>
      </c>
      <c r="Y288" t="s">
        <v>33</v>
      </c>
      <c r="Z288" s="14">
        <f>IF(Table2[[#This Row],[Delivery_Date]]&lt;=Table2[[#This Row],[Planned_Date]],1,0)</f>
        <v>1</v>
      </c>
      <c r="AA288" s="18">
        <f>Table2[[#This Row],[Units_Damaged]]/Table2[[#This Row],[Units_Shipped]]</f>
        <v>0</v>
      </c>
      <c r="AB288">
        <f t="shared" si="18"/>
        <v>-9295</v>
      </c>
      <c r="AC288" s="17">
        <f t="shared" si="19"/>
        <v>-1.2465216079391156E-2</v>
      </c>
    </row>
    <row r="289" spans="1:29" x14ac:dyDescent="0.25">
      <c r="A289" t="s">
        <v>361</v>
      </c>
      <c r="B289" s="1">
        <v>46405</v>
      </c>
      <c r="C289" s="1">
        <v>46238</v>
      </c>
      <c r="D289" t="s">
        <v>26</v>
      </c>
      <c r="E289" t="s">
        <v>27</v>
      </c>
      <c r="F289" t="s">
        <v>63</v>
      </c>
      <c r="G289" t="s">
        <v>29</v>
      </c>
      <c r="H289" t="s">
        <v>29</v>
      </c>
      <c r="I289" t="s">
        <v>88</v>
      </c>
      <c r="J289" t="s">
        <v>89</v>
      </c>
      <c r="K289" s="14" t="str">
        <f t="shared" si="16"/>
        <v>Kaduna → Edo</v>
      </c>
      <c r="L289" t="s">
        <v>41</v>
      </c>
      <c r="M289">
        <v>123</v>
      </c>
      <c r="N289">
        <v>122</v>
      </c>
      <c r="O289">
        <v>1</v>
      </c>
      <c r="P289">
        <v>364</v>
      </c>
      <c r="Q289" s="14" t="str">
        <f t="shared" si="17"/>
        <v>251–500 km</v>
      </c>
      <c r="R289" s="14" t="str">
        <f>IF(Table2[[#This Row],[Distance Bands]]="0–100 km","Short",
IF(Table2[[#This Row],[Distance Bands]]="101–250 km","Medium",
IF(Table2[[#This Row],[Distance Bands]]="251–500 km","Long",
IF(Table2[[#This Row],[Distance Bands]]="501–1,000 km","Very Long",
"Extreme"))))</f>
        <v>Long</v>
      </c>
      <c r="S289" s="13">
        <f>Table2[[#This Row],[Freight_Cost_NGN]]/Table2[[#This Row],[Distance_km]]</f>
        <v>3340.9780219780218</v>
      </c>
      <c r="T289">
        <v>5</v>
      </c>
      <c r="U289">
        <v>5</v>
      </c>
      <c r="V289" s="14">
        <f>Table2[[#This Row],[Actual_Transit_Days]]-Table2[[#This Row],[Planned_Transit_Days]]</f>
        <v>0</v>
      </c>
      <c r="W289">
        <v>1216116</v>
      </c>
      <c r="X289">
        <v>1208417</v>
      </c>
      <c r="Y289" t="s">
        <v>42</v>
      </c>
      <c r="Z289" s="14">
        <f>IF(Table2[[#This Row],[Delivery_Date]]&lt;=Table2[[#This Row],[Planned_Date]],1,0)</f>
        <v>1</v>
      </c>
      <c r="AA289" s="18">
        <f>Table2[[#This Row],[Units_Damaged]]/Table2[[#This Row],[Units_Shipped]]</f>
        <v>8.130081300813009E-3</v>
      </c>
      <c r="AB289">
        <f t="shared" si="18"/>
        <v>7699</v>
      </c>
      <c r="AC289" s="17">
        <f t="shared" si="19"/>
        <v>6.3711450600248097E-3</v>
      </c>
    </row>
    <row r="290" spans="1:29" x14ac:dyDescent="0.25">
      <c r="A290" t="s">
        <v>362</v>
      </c>
      <c r="B290" s="1">
        <v>46406</v>
      </c>
      <c r="C290" s="1">
        <v>46039</v>
      </c>
      <c r="D290" t="s">
        <v>62</v>
      </c>
      <c r="E290" t="s">
        <v>57</v>
      </c>
      <c r="F290" t="s">
        <v>63</v>
      </c>
      <c r="G290" t="s">
        <v>73</v>
      </c>
      <c r="H290" t="s">
        <v>74</v>
      </c>
      <c r="I290" t="s">
        <v>47</v>
      </c>
      <c r="J290" t="s">
        <v>48</v>
      </c>
      <c r="K290" s="14" t="str">
        <f t="shared" si="16"/>
        <v>Oyo → Cross River</v>
      </c>
      <c r="L290" t="s">
        <v>41</v>
      </c>
      <c r="M290">
        <v>138</v>
      </c>
      <c r="N290">
        <v>136</v>
      </c>
      <c r="O290">
        <v>2</v>
      </c>
      <c r="P290">
        <v>241</v>
      </c>
      <c r="Q290" s="14" t="str">
        <f t="shared" si="17"/>
        <v>101–250 km</v>
      </c>
      <c r="R290" s="14" t="str">
        <f>IF(Table2[[#This Row],[Distance Bands]]="0–100 km","Short",
IF(Table2[[#This Row],[Distance Bands]]="101–250 km","Medium",
IF(Table2[[#This Row],[Distance Bands]]="251–500 km","Long",
IF(Table2[[#This Row],[Distance Bands]]="501–1,000 km","Very Long",
"Extreme"))))</f>
        <v>Medium</v>
      </c>
      <c r="S290" s="13">
        <f>Table2[[#This Row],[Freight_Cost_NGN]]/Table2[[#This Row],[Distance_km]]</f>
        <v>4295.9709543568461</v>
      </c>
      <c r="T290">
        <v>4</v>
      </c>
      <c r="U290">
        <v>8</v>
      </c>
      <c r="V290" s="14">
        <f>Table2[[#This Row],[Actual_Transit_Days]]-Table2[[#This Row],[Planned_Transit_Days]]</f>
        <v>4</v>
      </c>
      <c r="W290">
        <v>1035329</v>
      </c>
      <c r="X290">
        <v>1136401</v>
      </c>
      <c r="Y290" t="s">
        <v>75</v>
      </c>
      <c r="Z290" s="14">
        <f>IF(Table2[[#This Row],[Delivery_Date]]&lt;=Table2[[#This Row],[Planned_Date]],1,0)</f>
        <v>1</v>
      </c>
      <c r="AA290" s="18">
        <f>Table2[[#This Row],[Units_Damaged]]/Table2[[#This Row],[Units_Shipped]]</f>
        <v>1.4492753623188406E-2</v>
      </c>
      <c r="AB290">
        <f t="shared" si="18"/>
        <v>-101072</v>
      </c>
      <c r="AC290" s="17">
        <f t="shared" si="19"/>
        <v>-8.8940435638476201E-2</v>
      </c>
    </row>
    <row r="291" spans="1:29" x14ac:dyDescent="0.25">
      <c r="A291" t="s">
        <v>363</v>
      </c>
      <c r="B291" s="1">
        <v>46407</v>
      </c>
      <c r="C291" s="1">
        <v>46036</v>
      </c>
      <c r="D291" t="s">
        <v>57</v>
      </c>
      <c r="E291" t="s">
        <v>36</v>
      </c>
      <c r="F291" t="s">
        <v>63</v>
      </c>
      <c r="G291" t="s">
        <v>91</v>
      </c>
      <c r="H291" t="s">
        <v>92</v>
      </c>
      <c r="I291" t="s">
        <v>58</v>
      </c>
      <c r="J291" t="s">
        <v>59</v>
      </c>
      <c r="K291" s="14" t="str">
        <f t="shared" si="16"/>
        <v>Delta → Ogun</v>
      </c>
      <c r="L291" t="s">
        <v>41</v>
      </c>
      <c r="M291">
        <v>129</v>
      </c>
      <c r="N291">
        <v>126</v>
      </c>
      <c r="O291">
        <v>3</v>
      </c>
      <c r="P291">
        <v>792</v>
      </c>
      <c r="Q291" s="14" t="str">
        <f t="shared" si="17"/>
        <v>501–1,000 km</v>
      </c>
      <c r="R291" s="14" t="str">
        <f>IF(Table2[[#This Row],[Distance Bands]]="0–100 km","Short",
IF(Table2[[#This Row],[Distance Bands]]="101–250 km","Medium",
IF(Table2[[#This Row],[Distance Bands]]="251–500 km","Long",
IF(Table2[[#This Row],[Distance Bands]]="501–1,000 km","Very Long",
"Extreme"))))</f>
        <v>Very Long</v>
      </c>
      <c r="S291" s="13">
        <f>Table2[[#This Row],[Freight_Cost_NGN]]/Table2[[#This Row],[Distance_km]]</f>
        <v>1981.314393939394</v>
      </c>
      <c r="T291">
        <v>5</v>
      </c>
      <c r="U291">
        <v>8</v>
      </c>
      <c r="V291" s="14">
        <f>Table2[[#This Row],[Actual_Transit_Days]]-Table2[[#This Row],[Planned_Transit_Days]]</f>
        <v>3</v>
      </c>
      <c r="W291">
        <v>1569201</v>
      </c>
      <c r="X291">
        <v>1703101</v>
      </c>
      <c r="Y291" t="s">
        <v>33</v>
      </c>
      <c r="Z291" s="14">
        <f>IF(Table2[[#This Row],[Delivery_Date]]&lt;=Table2[[#This Row],[Planned_Date]],1,0)</f>
        <v>1</v>
      </c>
      <c r="AA291" s="18">
        <f>Table2[[#This Row],[Units_Damaged]]/Table2[[#This Row],[Units_Shipped]]</f>
        <v>2.3255813953488372E-2</v>
      </c>
      <c r="AB291">
        <f t="shared" si="18"/>
        <v>-133900</v>
      </c>
      <c r="AC291" s="17">
        <f t="shared" si="19"/>
        <v>-7.8621291397280607E-2</v>
      </c>
    </row>
    <row r="292" spans="1:29" x14ac:dyDescent="0.25">
      <c r="A292" t="s">
        <v>364</v>
      </c>
      <c r="B292" s="1">
        <v>46408</v>
      </c>
      <c r="C292" s="1">
        <v>46062</v>
      </c>
      <c r="D292" t="s">
        <v>44</v>
      </c>
      <c r="E292" t="s">
        <v>52</v>
      </c>
      <c r="F292" t="s">
        <v>53</v>
      </c>
      <c r="G292" t="s">
        <v>68</v>
      </c>
      <c r="H292" t="s">
        <v>69</v>
      </c>
      <c r="I292" t="s">
        <v>72</v>
      </c>
      <c r="J292" t="s">
        <v>72</v>
      </c>
      <c r="K292" s="14" t="str">
        <f t="shared" si="16"/>
        <v>Abia → Lagos</v>
      </c>
      <c r="L292" t="s">
        <v>32</v>
      </c>
      <c r="M292">
        <v>52</v>
      </c>
      <c r="N292">
        <v>50</v>
      </c>
      <c r="O292">
        <v>2</v>
      </c>
      <c r="P292">
        <v>525</v>
      </c>
      <c r="Q292" s="14" t="str">
        <f t="shared" si="17"/>
        <v>501–1,000 km</v>
      </c>
      <c r="R292" s="14" t="str">
        <f>IF(Table2[[#This Row],[Distance Bands]]="0–100 km","Short",
IF(Table2[[#This Row],[Distance Bands]]="101–250 km","Medium",
IF(Table2[[#This Row],[Distance Bands]]="251–500 km","Long",
IF(Table2[[#This Row],[Distance Bands]]="501–1,000 km","Very Long",
"Extreme"))))</f>
        <v>Very Long</v>
      </c>
      <c r="S292" s="13">
        <f>Table2[[#This Row],[Freight_Cost_NGN]]/Table2[[#This Row],[Distance_km]]</f>
        <v>963</v>
      </c>
      <c r="T292">
        <v>1</v>
      </c>
      <c r="U292">
        <v>1</v>
      </c>
      <c r="V292" s="14">
        <f>Table2[[#This Row],[Actual_Transit_Days]]-Table2[[#This Row],[Planned_Transit_Days]]</f>
        <v>0</v>
      </c>
      <c r="W292">
        <v>505575</v>
      </c>
      <c r="X292">
        <v>466583</v>
      </c>
      <c r="Y292" t="s">
        <v>42</v>
      </c>
      <c r="Z292" s="14">
        <f>IF(Table2[[#This Row],[Delivery_Date]]&lt;=Table2[[#This Row],[Planned_Date]],1,0)</f>
        <v>1</v>
      </c>
      <c r="AA292" s="18">
        <f>Table2[[#This Row],[Units_Damaged]]/Table2[[#This Row],[Units_Shipped]]</f>
        <v>3.8461538461538464E-2</v>
      </c>
      <c r="AB292">
        <f t="shared" si="18"/>
        <v>38992</v>
      </c>
      <c r="AC292" s="17">
        <f t="shared" si="19"/>
        <v>8.3569268490279333E-2</v>
      </c>
    </row>
    <row r="293" spans="1:29" x14ac:dyDescent="0.25">
      <c r="A293" t="s">
        <v>365</v>
      </c>
      <c r="B293" s="1">
        <v>46409</v>
      </c>
      <c r="C293" s="1">
        <v>46267</v>
      </c>
      <c r="D293" t="s">
        <v>35</v>
      </c>
      <c r="E293" t="s">
        <v>45</v>
      </c>
      <c r="F293" t="s">
        <v>37</v>
      </c>
      <c r="G293" t="s">
        <v>29</v>
      </c>
      <c r="H293" t="s">
        <v>29</v>
      </c>
      <c r="I293" t="s">
        <v>47</v>
      </c>
      <c r="J293" t="s">
        <v>48</v>
      </c>
      <c r="K293" s="14" t="str">
        <f t="shared" si="16"/>
        <v>Kaduna → Cross River</v>
      </c>
      <c r="L293" t="s">
        <v>41</v>
      </c>
      <c r="M293">
        <v>89</v>
      </c>
      <c r="N293">
        <v>86</v>
      </c>
      <c r="O293">
        <v>3</v>
      </c>
      <c r="P293">
        <v>149</v>
      </c>
      <c r="Q293" s="14" t="str">
        <f t="shared" si="17"/>
        <v>101–250 km</v>
      </c>
      <c r="R293" s="14" t="str">
        <f>IF(Table2[[#This Row],[Distance Bands]]="0–100 km","Short",
IF(Table2[[#This Row],[Distance Bands]]="101–250 km","Medium",
IF(Table2[[#This Row],[Distance Bands]]="251–500 km","Long",
IF(Table2[[#This Row],[Distance Bands]]="501–1,000 km","Very Long",
"Extreme"))))</f>
        <v>Medium</v>
      </c>
      <c r="S293" s="13">
        <f>Table2[[#This Row],[Freight_Cost_NGN]]/Table2[[#This Row],[Distance_km]]</f>
        <v>2937.9395973154365</v>
      </c>
      <c r="T293">
        <v>1</v>
      </c>
      <c r="U293">
        <v>6</v>
      </c>
      <c r="V293" s="14">
        <f>Table2[[#This Row],[Actual_Transit_Days]]-Table2[[#This Row],[Planned_Transit_Days]]</f>
        <v>5</v>
      </c>
      <c r="W293">
        <v>437753</v>
      </c>
      <c r="X293">
        <v>458618</v>
      </c>
      <c r="Y293" t="s">
        <v>75</v>
      </c>
      <c r="Z293" s="14">
        <f>IF(Table2[[#This Row],[Delivery_Date]]&lt;=Table2[[#This Row],[Planned_Date]],1,0)</f>
        <v>1</v>
      </c>
      <c r="AA293" s="18">
        <f>Table2[[#This Row],[Units_Damaged]]/Table2[[#This Row],[Units_Shipped]]</f>
        <v>3.3707865168539325E-2</v>
      </c>
      <c r="AB293">
        <f t="shared" si="18"/>
        <v>-20865</v>
      </c>
      <c r="AC293" s="17">
        <f t="shared" si="19"/>
        <v>-4.5495379596963051E-2</v>
      </c>
    </row>
    <row r="294" spans="1:29" x14ac:dyDescent="0.25">
      <c r="A294" t="s">
        <v>366</v>
      </c>
      <c r="B294" s="1">
        <v>46410</v>
      </c>
      <c r="C294" s="1">
        <v>46171</v>
      </c>
      <c r="D294" t="s">
        <v>44</v>
      </c>
      <c r="E294" t="s">
        <v>45</v>
      </c>
      <c r="F294" t="s">
        <v>46</v>
      </c>
      <c r="G294" t="s">
        <v>29</v>
      </c>
      <c r="H294" t="s">
        <v>29</v>
      </c>
      <c r="I294" t="s">
        <v>38</v>
      </c>
      <c r="J294" t="s">
        <v>38</v>
      </c>
      <c r="K294" s="14" t="str">
        <f t="shared" si="16"/>
        <v>Kaduna → Kano</v>
      </c>
      <c r="L294" t="s">
        <v>32</v>
      </c>
      <c r="M294">
        <v>63</v>
      </c>
      <c r="N294">
        <v>61</v>
      </c>
      <c r="O294">
        <v>2</v>
      </c>
      <c r="P294">
        <v>587</v>
      </c>
      <c r="Q294" s="14" t="str">
        <f t="shared" si="17"/>
        <v>501–1,000 km</v>
      </c>
      <c r="R294" s="14" t="str">
        <f>IF(Table2[[#This Row],[Distance Bands]]="0–100 km","Short",
IF(Table2[[#This Row],[Distance Bands]]="101–250 km","Medium",
IF(Table2[[#This Row],[Distance Bands]]="251–500 km","Long",
IF(Table2[[#This Row],[Distance Bands]]="501–1,000 km","Very Long",
"Extreme"))))</f>
        <v>Very Long</v>
      </c>
      <c r="S294" s="13">
        <f>Table2[[#This Row],[Freight_Cost_NGN]]/Table2[[#This Row],[Distance_km]]</f>
        <v>1520.3049403747871</v>
      </c>
      <c r="T294">
        <v>6</v>
      </c>
      <c r="U294">
        <v>6</v>
      </c>
      <c r="V294" s="14">
        <f>Table2[[#This Row],[Actual_Transit_Days]]-Table2[[#This Row],[Planned_Transit_Days]]</f>
        <v>0</v>
      </c>
      <c r="W294">
        <v>892419</v>
      </c>
      <c r="X294">
        <v>909222</v>
      </c>
      <c r="Y294" t="s">
        <v>42</v>
      </c>
      <c r="Z294" s="14">
        <f>IF(Table2[[#This Row],[Delivery_Date]]&lt;=Table2[[#This Row],[Planned_Date]],1,0)</f>
        <v>1</v>
      </c>
      <c r="AA294" s="18">
        <f>Table2[[#This Row],[Units_Damaged]]/Table2[[#This Row],[Units_Shipped]]</f>
        <v>3.1746031746031744E-2</v>
      </c>
      <c r="AB294">
        <f t="shared" si="18"/>
        <v>-16803</v>
      </c>
      <c r="AC294" s="17">
        <f t="shared" si="19"/>
        <v>-1.8480635092419675E-2</v>
      </c>
    </row>
    <row r="295" spans="1:29" x14ac:dyDescent="0.25">
      <c r="A295" t="s">
        <v>367</v>
      </c>
      <c r="B295" s="1">
        <v>46411</v>
      </c>
      <c r="C295" s="1">
        <v>46063</v>
      </c>
      <c r="D295" t="s">
        <v>35</v>
      </c>
      <c r="E295" t="s">
        <v>103</v>
      </c>
      <c r="F295" t="s">
        <v>28</v>
      </c>
      <c r="G295" t="s">
        <v>54</v>
      </c>
      <c r="H295" t="s">
        <v>55</v>
      </c>
      <c r="I295" t="s">
        <v>80</v>
      </c>
      <c r="J295" t="s">
        <v>80</v>
      </c>
      <c r="K295" s="14" t="str">
        <f t="shared" si="16"/>
        <v>Rivers → Enugu</v>
      </c>
      <c r="L295" t="s">
        <v>32</v>
      </c>
      <c r="M295">
        <v>59</v>
      </c>
      <c r="N295">
        <v>56</v>
      </c>
      <c r="O295">
        <v>3</v>
      </c>
      <c r="P295">
        <v>718</v>
      </c>
      <c r="Q295" s="14" t="str">
        <f t="shared" si="17"/>
        <v>501–1,000 km</v>
      </c>
      <c r="R295" s="14" t="str">
        <f>IF(Table2[[#This Row],[Distance Bands]]="0–100 km","Short",
IF(Table2[[#This Row],[Distance Bands]]="101–250 km","Medium",
IF(Table2[[#This Row],[Distance Bands]]="251–500 km","Long",
IF(Table2[[#This Row],[Distance Bands]]="501–1,000 km","Very Long",
"Extreme"))))</f>
        <v>Very Long</v>
      </c>
      <c r="S295" s="13">
        <f>Table2[[#This Row],[Freight_Cost_NGN]]/Table2[[#This Row],[Distance_km]]</f>
        <v>1171.5334261838441</v>
      </c>
      <c r="T295">
        <v>3</v>
      </c>
      <c r="U295">
        <v>5</v>
      </c>
      <c r="V295" s="14">
        <f>Table2[[#This Row],[Actual_Transit_Days]]-Table2[[#This Row],[Planned_Transit_Days]]</f>
        <v>2</v>
      </c>
      <c r="W295">
        <v>841161</v>
      </c>
      <c r="X295">
        <v>802022</v>
      </c>
      <c r="Y295" t="s">
        <v>33</v>
      </c>
      <c r="Z295" s="14">
        <f>IF(Table2[[#This Row],[Delivery_Date]]&lt;=Table2[[#This Row],[Planned_Date]],1,0)</f>
        <v>1</v>
      </c>
      <c r="AA295" s="18">
        <f>Table2[[#This Row],[Units_Damaged]]/Table2[[#This Row],[Units_Shipped]]</f>
        <v>5.0847457627118647E-2</v>
      </c>
      <c r="AB295">
        <f t="shared" si="18"/>
        <v>39139</v>
      </c>
      <c r="AC295" s="17">
        <f t="shared" si="19"/>
        <v>4.8800406971379835E-2</v>
      </c>
    </row>
    <row r="296" spans="1:29" x14ac:dyDescent="0.25">
      <c r="A296" t="s">
        <v>368</v>
      </c>
      <c r="B296" s="1">
        <v>46412</v>
      </c>
      <c r="C296" s="1">
        <v>46096</v>
      </c>
      <c r="D296" t="s">
        <v>26</v>
      </c>
      <c r="E296" t="s">
        <v>67</v>
      </c>
      <c r="F296" t="s">
        <v>53</v>
      </c>
      <c r="G296" t="s">
        <v>91</v>
      </c>
      <c r="H296" t="s">
        <v>92</v>
      </c>
      <c r="I296" t="s">
        <v>73</v>
      </c>
      <c r="J296" t="s">
        <v>74</v>
      </c>
      <c r="K296" s="14" t="str">
        <f t="shared" si="16"/>
        <v>Delta → Oyo</v>
      </c>
      <c r="L296" t="s">
        <v>32</v>
      </c>
      <c r="M296">
        <v>147</v>
      </c>
      <c r="N296">
        <v>144</v>
      </c>
      <c r="O296">
        <v>3</v>
      </c>
      <c r="P296">
        <v>640</v>
      </c>
      <c r="Q296" s="14" t="str">
        <f t="shared" si="17"/>
        <v>501–1,000 km</v>
      </c>
      <c r="R296" s="14" t="str">
        <f>IF(Table2[[#This Row],[Distance Bands]]="0–100 km","Short",
IF(Table2[[#This Row],[Distance Bands]]="101–250 km","Medium",
IF(Table2[[#This Row],[Distance Bands]]="251–500 km","Long",
IF(Table2[[#This Row],[Distance Bands]]="501–1,000 km","Very Long",
"Extreme"))))</f>
        <v>Very Long</v>
      </c>
      <c r="S296" s="13">
        <f>Table2[[#This Row],[Freight_Cost_NGN]]/Table2[[#This Row],[Distance_km]]</f>
        <v>3707.9171875000002</v>
      </c>
      <c r="T296">
        <v>4</v>
      </c>
      <c r="U296">
        <v>5</v>
      </c>
      <c r="V296" s="14">
        <f>Table2[[#This Row],[Actual_Transit_Days]]-Table2[[#This Row],[Planned_Transit_Days]]</f>
        <v>1</v>
      </c>
      <c r="W296">
        <v>2373067</v>
      </c>
      <c r="X296">
        <v>2500149</v>
      </c>
      <c r="Y296" t="s">
        <v>33</v>
      </c>
      <c r="Z296" s="14">
        <f>IF(Table2[[#This Row],[Delivery_Date]]&lt;=Table2[[#This Row],[Planned_Date]],1,0)</f>
        <v>1</v>
      </c>
      <c r="AA296" s="18">
        <f>Table2[[#This Row],[Units_Damaged]]/Table2[[#This Row],[Units_Shipped]]</f>
        <v>2.0408163265306121E-2</v>
      </c>
      <c r="AB296">
        <f t="shared" si="18"/>
        <v>-127082</v>
      </c>
      <c r="AC296" s="17">
        <f t="shared" si="19"/>
        <v>-5.082977054567548E-2</v>
      </c>
    </row>
    <row r="297" spans="1:29" x14ac:dyDescent="0.25">
      <c r="A297" t="s">
        <v>369</v>
      </c>
      <c r="B297" s="1">
        <v>46413</v>
      </c>
      <c r="C297" s="1">
        <v>46147</v>
      </c>
      <c r="D297" t="s">
        <v>44</v>
      </c>
      <c r="E297" t="s">
        <v>27</v>
      </c>
      <c r="F297" t="s">
        <v>46</v>
      </c>
      <c r="G297" t="s">
        <v>58</v>
      </c>
      <c r="H297" t="s">
        <v>59</v>
      </c>
      <c r="I297" t="s">
        <v>72</v>
      </c>
      <c r="J297" t="s">
        <v>72</v>
      </c>
      <c r="K297" s="14" t="str">
        <f t="shared" si="16"/>
        <v>Ogun → Lagos</v>
      </c>
      <c r="L297" t="s">
        <v>32</v>
      </c>
      <c r="M297">
        <v>44</v>
      </c>
      <c r="N297">
        <v>43</v>
      </c>
      <c r="O297">
        <v>1</v>
      </c>
      <c r="P297">
        <v>142</v>
      </c>
      <c r="Q297" s="14" t="str">
        <f t="shared" si="17"/>
        <v>101–250 km</v>
      </c>
      <c r="R297" s="14" t="str">
        <f>IF(Table2[[#This Row],[Distance Bands]]="0–100 km","Short",
IF(Table2[[#This Row],[Distance Bands]]="101–250 km","Medium",
IF(Table2[[#This Row],[Distance Bands]]="251–500 km","Long",
IF(Table2[[#This Row],[Distance Bands]]="501–1,000 km","Very Long",
"Extreme"))))</f>
        <v>Medium</v>
      </c>
      <c r="S297" s="13">
        <f>Table2[[#This Row],[Freight_Cost_NGN]]/Table2[[#This Row],[Distance_km]]</f>
        <v>3199.0845070422533</v>
      </c>
      <c r="T297">
        <v>2</v>
      </c>
      <c r="U297">
        <v>2</v>
      </c>
      <c r="V297" s="14">
        <f>Table2[[#This Row],[Actual_Transit_Days]]-Table2[[#This Row],[Planned_Transit_Days]]</f>
        <v>0</v>
      </c>
      <c r="W297">
        <v>454270</v>
      </c>
      <c r="X297">
        <v>500624</v>
      </c>
      <c r="Y297" t="s">
        <v>42</v>
      </c>
      <c r="Z297" s="14">
        <f>IF(Table2[[#This Row],[Delivery_Date]]&lt;=Table2[[#This Row],[Planned_Date]],1,0)</f>
        <v>1</v>
      </c>
      <c r="AA297" s="18">
        <f>Table2[[#This Row],[Units_Damaged]]/Table2[[#This Row],[Units_Shipped]]</f>
        <v>2.2727272727272728E-2</v>
      </c>
      <c r="AB297">
        <f t="shared" si="18"/>
        <v>-46354</v>
      </c>
      <c r="AC297" s="17">
        <f t="shared" si="19"/>
        <v>-9.2592444629102877E-2</v>
      </c>
    </row>
    <row r="298" spans="1:29" x14ac:dyDescent="0.25">
      <c r="A298" t="s">
        <v>370</v>
      </c>
      <c r="B298" s="1">
        <v>46414</v>
      </c>
      <c r="C298" s="1">
        <v>46065</v>
      </c>
      <c r="D298" t="s">
        <v>77</v>
      </c>
      <c r="E298" t="s">
        <v>45</v>
      </c>
      <c r="F298" t="s">
        <v>37</v>
      </c>
      <c r="G298" t="s">
        <v>91</v>
      </c>
      <c r="H298" t="s">
        <v>92</v>
      </c>
      <c r="I298" t="s">
        <v>58</v>
      </c>
      <c r="J298" t="s">
        <v>59</v>
      </c>
      <c r="K298" s="14" t="str">
        <f t="shared" si="16"/>
        <v>Delta → Ogun</v>
      </c>
      <c r="L298" t="s">
        <v>41</v>
      </c>
      <c r="M298">
        <v>112</v>
      </c>
      <c r="N298">
        <v>110</v>
      </c>
      <c r="O298">
        <v>2</v>
      </c>
      <c r="P298">
        <v>835</v>
      </c>
      <c r="Q298" s="14" t="str">
        <f t="shared" si="17"/>
        <v>501–1,000 km</v>
      </c>
      <c r="R298" s="14" t="str">
        <f>IF(Table2[[#This Row],[Distance Bands]]="0–100 km","Short",
IF(Table2[[#This Row],[Distance Bands]]="101–250 km","Medium",
IF(Table2[[#This Row],[Distance Bands]]="251–500 km","Long",
IF(Table2[[#This Row],[Distance Bands]]="501–1,000 km","Very Long",
"Extreme"))))</f>
        <v>Very Long</v>
      </c>
      <c r="S298" s="13">
        <f>Table2[[#This Row],[Freight_Cost_NGN]]/Table2[[#This Row],[Distance_km]]</f>
        <v>1743.9880239520958</v>
      </c>
      <c r="T298">
        <v>1</v>
      </c>
      <c r="U298">
        <v>3</v>
      </c>
      <c r="V298" s="14">
        <f>Table2[[#This Row],[Actual_Transit_Days]]-Table2[[#This Row],[Planned_Transit_Days]]</f>
        <v>2</v>
      </c>
      <c r="W298">
        <v>1456230</v>
      </c>
      <c r="X298">
        <v>1463026</v>
      </c>
      <c r="Y298" t="s">
        <v>33</v>
      </c>
      <c r="Z298" s="14">
        <f>IF(Table2[[#This Row],[Delivery_Date]]&lt;=Table2[[#This Row],[Planned_Date]],1,0)</f>
        <v>1</v>
      </c>
      <c r="AA298" s="18">
        <f>Table2[[#This Row],[Units_Damaged]]/Table2[[#This Row],[Units_Shipped]]</f>
        <v>1.7857142857142856E-2</v>
      </c>
      <c r="AB298">
        <f t="shared" si="18"/>
        <v>-6796</v>
      </c>
      <c r="AC298" s="17">
        <f t="shared" si="19"/>
        <v>-4.6451669348323271E-3</v>
      </c>
    </row>
    <row r="299" spans="1:29" x14ac:dyDescent="0.25">
      <c r="A299" t="s">
        <v>371</v>
      </c>
      <c r="B299" s="1">
        <v>46415</v>
      </c>
      <c r="C299" s="1">
        <v>46219</v>
      </c>
      <c r="D299" t="s">
        <v>62</v>
      </c>
      <c r="E299" t="s">
        <v>103</v>
      </c>
      <c r="F299" t="s">
        <v>53</v>
      </c>
      <c r="G299" t="s">
        <v>29</v>
      </c>
      <c r="H299" t="s">
        <v>29</v>
      </c>
      <c r="I299" t="s">
        <v>68</v>
      </c>
      <c r="J299" t="s">
        <v>69</v>
      </c>
      <c r="K299" s="14" t="str">
        <f t="shared" si="16"/>
        <v>Kaduna → Abia</v>
      </c>
      <c r="L299" t="s">
        <v>41</v>
      </c>
      <c r="M299">
        <v>92</v>
      </c>
      <c r="N299">
        <v>90</v>
      </c>
      <c r="O299">
        <v>2</v>
      </c>
      <c r="P299">
        <v>280</v>
      </c>
      <c r="Q299" s="14" t="str">
        <f t="shared" si="17"/>
        <v>251–500 km</v>
      </c>
      <c r="R299" s="14" t="str">
        <f>IF(Table2[[#This Row],[Distance Bands]]="0–100 km","Short",
IF(Table2[[#This Row],[Distance Bands]]="101–250 km","Medium",
IF(Table2[[#This Row],[Distance Bands]]="251–500 km","Long",
IF(Table2[[#This Row],[Distance Bands]]="501–1,000 km","Very Long",
"Extreme"))))</f>
        <v>Long</v>
      </c>
      <c r="S299" s="13">
        <f>Table2[[#This Row],[Freight_Cost_NGN]]/Table2[[#This Row],[Distance_km]]</f>
        <v>3550.4285714285716</v>
      </c>
      <c r="T299">
        <v>6</v>
      </c>
      <c r="U299">
        <v>6</v>
      </c>
      <c r="V299" s="14">
        <f>Table2[[#This Row],[Actual_Transit_Days]]-Table2[[#This Row],[Planned_Transit_Days]]</f>
        <v>0</v>
      </c>
      <c r="W299">
        <v>994120</v>
      </c>
      <c r="X299">
        <v>1112865</v>
      </c>
      <c r="Y299" t="s">
        <v>42</v>
      </c>
      <c r="Z299" s="14">
        <f>IF(Table2[[#This Row],[Delivery_Date]]&lt;=Table2[[#This Row],[Planned_Date]],1,0)</f>
        <v>1</v>
      </c>
      <c r="AA299" s="18">
        <f>Table2[[#This Row],[Units_Damaged]]/Table2[[#This Row],[Units_Shipped]]</f>
        <v>2.1739130434782608E-2</v>
      </c>
      <c r="AB299">
        <f t="shared" si="18"/>
        <v>-118745</v>
      </c>
      <c r="AC299" s="17">
        <f t="shared" si="19"/>
        <v>-0.10670207078127177</v>
      </c>
    </row>
    <row r="300" spans="1:29" x14ac:dyDescent="0.25">
      <c r="A300" t="s">
        <v>372</v>
      </c>
      <c r="B300" s="1">
        <v>46416</v>
      </c>
      <c r="C300" s="1">
        <v>46089</v>
      </c>
      <c r="D300" t="s">
        <v>77</v>
      </c>
      <c r="E300" t="s">
        <v>67</v>
      </c>
      <c r="F300" t="s">
        <v>28</v>
      </c>
      <c r="G300" t="s">
        <v>39</v>
      </c>
      <c r="H300" t="s">
        <v>40</v>
      </c>
      <c r="I300" t="s">
        <v>29</v>
      </c>
      <c r="J300" t="s">
        <v>29</v>
      </c>
      <c r="K300" s="14" t="str">
        <f t="shared" si="16"/>
        <v>Anambra → Kaduna</v>
      </c>
      <c r="L300" t="s">
        <v>32</v>
      </c>
      <c r="M300">
        <v>68</v>
      </c>
      <c r="N300">
        <v>67</v>
      </c>
      <c r="O300">
        <v>1</v>
      </c>
      <c r="P300">
        <v>834</v>
      </c>
      <c r="Q300" s="14" t="str">
        <f t="shared" si="17"/>
        <v>501–1,000 km</v>
      </c>
      <c r="R300" s="14" t="str">
        <f>IF(Table2[[#This Row],[Distance Bands]]="0–100 km","Short",
IF(Table2[[#This Row],[Distance Bands]]="101–250 km","Medium",
IF(Table2[[#This Row],[Distance Bands]]="251–500 km","Long",
IF(Table2[[#This Row],[Distance Bands]]="501–1,000 km","Very Long",
"Extreme"))))</f>
        <v>Very Long</v>
      </c>
      <c r="S300" s="13">
        <f>Table2[[#This Row],[Freight_Cost_NGN]]/Table2[[#This Row],[Distance_km]]</f>
        <v>1662.1774580335732</v>
      </c>
      <c r="T300">
        <v>7</v>
      </c>
      <c r="U300">
        <v>10</v>
      </c>
      <c r="V300" s="14">
        <f>Table2[[#This Row],[Actual_Transit_Days]]-Table2[[#This Row],[Planned_Transit_Days]]</f>
        <v>3</v>
      </c>
      <c r="W300">
        <v>1386256</v>
      </c>
      <c r="X300">
        <v>1428364</v>
      </c>
      <c r="Y300" t="s">
        <v>33</v>
      </c>
      <c r="Z300" s="14">
        <f>IF(Table2[[#This Row],[Delivery_Date]]&lt;=Table2[[#This Row],[Planned_Date]],1,0)</f>
        <v>1</v>
      </c>
      <c r="AA300" s="18">
        <f>Table2[[#This Row],[Units_Damaged]]/Table2[[#This Row],[Units_Shipped]]</f>
        <v>1.4705882352941176E-2</v>
      </c>
      <c r="AB300">
        <f t="shared" si="18"/>
        <v>-42108</v>
      </c>
      <c r="AC300" s="17">
        <f t="shared" si="19"/>
        <v>-2.9479880478645498E-2</v>
      </c>
    </row>
    <row r="301" spans="1:29" x14ac:dyDescent="0.25">
      <c r="A301" t="s">
        <v>373</v>
      </c>
      <c r="B301" s="1">
        <v>46417</v>
      </c>
      <c r="C301" s="1">
        <v>46079</v>
      </c>
      <c r="D301" t="s">
        <v>26</v>
      </c>
      <c r="E301" t="s">
        <v>85</v>
      </c>
      <c r="F301" t="s">
        <v>63</v>
      </c>
      <c r="G301" t="s">
        <v>80</v>
      </c>
      <c r="H301" t="s">
        <v>80</v>
      </c>
      <c r="I301" t="s">
        <v>30</v>
      </c>
      <c r="J301" t="s">
        <v>31</v>
      </c>
      <c r="K301" s="14" t="str">
        <f t="shared" si="16"/>
        <v>Enugu → Kwara</v>
      </c>
      <c r="L301" t="s">
        <v>32</v>
      </c>
      <c r="M301">
        <v>56</v>
      </c>
      <c r="N301">
        <v>56</v>
      </c>
      <c r="O301">
        <v>0</v>
      </c>
      <c r="P301">
        <v>807</v>
      </c>
      <c r="Q301" s="14" t="str">
        <f t="shared" si="17"/>
        <v>501–1,000 km</v>
      </c>
      <c r="R301" s="14" t="str">
        <f>IF(Table2[[#This Row],[Distance Bands]]="0–100 km","Short",
IF(Table2[[#This Row],[Distance Bands]]="101–250 km","Medium",
IF(Table2[[#This Row],[Distance Bands]]="251–500 km","Long",
IF(Table2[[#This Row],[Distance Bands]]="501–1,000 km","Very Long",
"Extreme"))))</f>
        <v>Very Long</v>
      </c>
      <c r="S301" s="13">
        <f>Table2[[#This Row],[Freight_Cost_NGN]]/Table2[[#This Row],[Distance_km]]</f>
        <v>1005.2032218091698</v>
      </c>
      <c r="T301">
        <v>3</v>
      </c>
      <c r="U301">
        <v>3</v>
      </c>
      <c r="V301" s="14">
        <f>Table2[[#This Row],[Actual_Transit_Days]]-Table2[[#This Row],[Planned_Transit_Days]]</f>
        <v>0</v>
      </c>
      <c r="W301">
        <v>811199</v>
      </c>
      <c r="X301">
        <v>904174</v>
      </c>
      <c r="Y301" t="s">
        <v>42</v>
      </c>
      <c r="Z301" s="14">
        <f>IF(Table2[[#This Row],[Delivery_Date]]&lt;=Table2[[#This Row],[Planned_Date]],1,0)</f>
        <v>1</v>
      </c>
      <c r="AA301" s="18">
        <f>Table2[[#This Row],[Units_Damaged]]/Table2[[#This Row],[Units_Shipped]]</f>
        <v>0</v>
      </c>
      <c r="AB301">
        <f t="shared" si="18"/>
        <v>-92975</v>
      </c>
      <c r="AC301" s="17">
        <f t="shared" si="19"/>
        <v>-0.10282865908553</v>
      </c>
    </row>
    <row r="302" spans="1:29" x14ac:dyDescent="0.25">
      <c r="A302" t="s">
        <v>374</v>
      </c>
      <c r="B302" s="1">
        <v>46418</v>
      </c>
      <c r="C302" s="1">
        <v>46091</v>
      </c>
      <c r="D302" t="s">
        <v>44</v>
      </c>
      <c r="E302" t="s">
        <v>85</v>
      </c>
      <c r="F302" t="s">
        <v>28</v>
      </c>
      <c r="G302" t="s">
        <v>54</v>
      </c>
      <c r="H302" t="s">
        <v>55</v>
      </c>
      <c r="I302" t="s">
        <v>38</v>
      </c>
      <c r="J302" t="s">
        <v>38</v>
      </c>
      <c r="K302" s="14" t="str">
        <f t="shared" si="16"/>
        <v>Rivers → Kano</v>
      </c>
      <c r="L302" t="s">
        <v>32</v>
      </c>
      <c r="M302">
        <v>129</v>
      </c>
      <c r="N302">
        <v>127</v>
      </c>
      <c r="O302">
        <v>2</v>
      </c>
      <c r="P302">
        <v>37</v>
      </c>
      <c r="Q302" s="14" t="str">
        <f t="shared" si="17"/>
        <v>0–100 km</v>
      </c>
      <c r="R302" s="14" t="str">
        <f>IF(Table2[[#This Row],[Distance Bands]]="0–100 km","Short",
IF(Table2[[#This Row],[Distance Bands]]="101–250 km","Medium",
IF(Table2[[#This Row],[Distance Bands]]="251–500 km","Long",
IF(Table2[[#This Row],[Distance Bands]]="501–1,000 km","Very Long",
"Extreme"))))</f>
        <v>Short</v>
      </c>
      <c r="S302" s="13">
        <f>Table2[[#This Row],[Freight_Cost_NGN]]/Table2[[#This Row],[Distance_km]]</f>
        <v>30341.864864864863</v>
      </c>
      <c r="T302">
        <v>5</v>
      </c>
      <c r="U302">
        <v>5</v>
      </c>
      <c r="V302" s="14">
        <f>Table2[[#This Row],[Actual_Transit_Days]]-Table2[[#This Row],[Planned_Transit_Days]]</f>
        <v>0</v>
      </c>
      <c r="W302">
        <v>1122649</v>
      </c>
      <c r="X302">
        <v>1071033</v>
      </c>
      <c r="Y302" t="s">
        <v>42</v>
      </c>
      <c r="Z302" s="14">
        <f>IF(Table2[[#This Row],[Delivery_Date]]&lt;=Table2[[#This Row],[Planned_Date]],1,0)</f>
        <v>1</v>
      </c>
      <c r="AA302" s="18">
        <f>Table2[[#This Row],[Units_Damaged]]/Table2[[#This Row],[Units_Shipped]]</f>
        <v>1.5503875968992248E-2</v>
      </c>
      <c r="AB302">
        <f t="shared" si="18"/>
        <v>51616</v>
      </c>
      <c r="AC302" s="17">
        <f t="shared" si="19"/>
        <v>4.8192726087804949E-2</v>
      </c>
    </row>
  </sheetData>
  <mergeCells count="1">
    <mergeCell ref="P1:AC1"/>
  </mergeCell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BD63-3EF3-4180-BE27-D64BFAB85F4B}">
  <dimension ref="A1"/>
  <sheetViews>
    <sheetView showGridLines="0" workbookViewId="0">
      <selection activeCell="T5" sqref="T5"/>
    </sheetView>
  </sheetViews>
  <sheetFormatPr defaultRowHeight="15" x14ac:dyDescent="0.25"/>
  <cols>
    <col min="1" max="16384" width="9.140625" style="8"/>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A9860-49D5-4C95-9A52-B5E3BE0182B4}">
  <dimension ref="A1:X527"/>
  <sheetViews>
    <sheetView zoomScale="115" zoomScaleNormal="115" workbookViewId="0">
      <selection activeCell="C217" sqref="C217"/>
    </sheetView>
  </sheetViews>
  <sheetFormatPr defaultRowHeight="15" x14ac:dyDescent="0.25"/>
  <cols>
    <col min="1" max="1" width="21.42578125" bestFit="1" customWidth="1"/>
    <col min="2" max="2" width="26.28515625" bestFit="1" customWidth="1"/>
    <col min="3" max="3" width="24.7109375" bestFit="1" customWidth="1"/>
    <col min="4" max="4" width="19.140625" bestFit="1" customWidth="1"/>
    <col min="5" max="5" width="23.5703125" bestFit="1" customWidth="1"/>
    <col min="6" max="6" width="13.42578125" bestFit="1" customWidth="1"/>
    <col min="7" max="7" width="15.42578125" bestFit="1" customWidth="1"/>
    <col min="8" max="8" width="26.28515625" bestFit="1" customWidth="1"/>
    <col min="9" max="9" width="13.42578125" bestFit="1" customWidth="1"/>
    <col min="10" max="10" width="26.140625" bestFit="1" customWidth="1"/>
    <col min="13" max="13" width="13.42578125" bestFit="1" customWidth="1"/>
    <col min="14" max="14" width="19.140625" bestFit="1" customWidth="1"/>
    <col min="15" max="15" width="21.140625" bestFit="1" customWidth="1"/>
    <col min="16" max="17" width="23.5703125" bestFit="1" customWidth="1"/>
    <col min="18" max="18" width="26.7109375" bestFit="1" customWidth="1"/>
    <col min="21" max="21" width="11.5703125" bestFit="1" customWidth="1"/>
  </cols>
  <sheetData>
    <row r="1" spans="1:24" x14ac:dyDescent="0.25">
      <c r="A1" t="s">
        <v>429</v>
      </c>
      <c r="G1" t="s">
        <v>430</v>
      </c>
      <c r="N1" t="s">
        <v>438</v>
      </c>
    </row>
    <row r="2" spans="1:24" x14ac:dyDescent="0.25">
      <c r="G2" s="9" t="s">
        <v>376</v>
      </c>
      <c r="H2" t="s">
        <v>381</v>
      </c>
      <c r="J2" t="str" cm="1">
        <f t="array" ref="J2:K7">G2:H7</f>
        <v>Row Labels</v>
      </c>
      <c r="K2" t="str">
        <v>Average of Delay_Days</v>
      </c>
      <c r="N2" s="9" t="s">
        <v>376</v>
      </c>
      <c r="O2" s="14" t="s">
        <v>378</v>
      </c>
      <c r="P2" s="14" t="s">
        <v>382</v>
      </c>
      <c r="Q2" s="14" t="s">
        <v>383</v>
      </c>
      <c r="R2" s="14" t="s">
        <v>418</v>
      </c>
      <c r="S2" t="s">
        <v>442</v>
      </c>
      <c r="T2" t="s">
        <v>440</v>
      </c>
      <c r="U2" t="s">
        <v>441</v>
      </c>
      <c r="V2" t="s">
        <v>439</v>
      </c>
      <c r="W2" t="s">
        <v>443</v>
      </c>
      <c r="X2" t="s">
        <v>444</v>
      </c>
    </row>
    <row r="3" spans="1:24" x14ac:dyDescent="0.25">
      <c r="A3" s="9" t="s">
        <v>376</v>
      </c>
      <c r="B3" t="s">
        <v>382</v>
      </c>
      <c r="D3" s="9" t="s">
        <v>376</v>
      </c>
      <c r="E3" t="s">
        <v>383</v>
      </c>
      <c r="G3" s="10" t="s">
        <v>416</v>
      </c>
      <c r="H3" s="2">
        <v>7</v>
      </c>
      <c r="J3" t="str">
        <v>Rivers → Niger</v>
      </c>
      <c r="K3">
        <v>7</v>
      </c>
      <c r="N3" s="10" t="s">
        <v>37</v>
      </c>
      <c r="O3" s="13">
        <v>65</v>
      </c>
      <c r="P3" s="12">
        <v>0.87692307692307692</v>
      </c>
      <c r="Q3" s="16">
        <v>2.0748892951570879E-2</v>
      </c>
      <c r="R3" s="16">
        <v>-4.0565996712856964E-3</v>
      </c>
      <c r="S3" s="2">
        <f>P3*100</f>
        <v>87.692307692307693</v>
      </c>
      <c r="T3" s="2">
        <f>100-(Q3*100)</f>
        <v>97.925110704842908</v>
      </c>
      <c r="U3">
        <f>MIN(100,100-(R3*100))</f>
        <v>100</v>
      </c>
      <c r="V3" s="11">
        <f>(S3*40%)+(T3*30%)+(U3*30%)</f>
        <v>94.454456288375951</v>
      </c>
      <c r="W3" t="str">
        <f>IF(V3&gt;=90,"Excellent",IF(V3&gt;=80,"Good",IF(V3&gt;=70,"Needs Improvement","Poor")))</f>
        <v>Excellent</v>
      </c>
      <c r="X3">
        <f>_xlfn.RANK.EQ(V3,$V$3:$V$7,0)</f>
        <v>1</v>
      </c>
    </row>
    <row r="4" spans="1:24" x14ac:dyDescent="0.25">
      <c r="A4" s="10" t="s">
        <v>37</v>
      </c>
      <c r="B4" s="12">
        <v>0.87692307692307692</v>
      </c>
      <c r="D4" s="10" t="s">
        <v>37</v>
      </c>
      <c r="E4" s="16">
        <v>2.0748892951570879E-2</v>
      </c>
      <c r="G4" s="10" t="s">
        <v>408</v>
      </c>
      <c r="H4" s="2">
        <v>7</v>
      </c>
      <c r="J4" t="str">
        <v>Oyo → Anambra</v>
      </c>
      <c r="K4">
        <v>7</v>
      </c>
      <c r="N4" s="10" t="s">
        <v>28</v>
      </c>
      <c r="O4" s="13">
        <v>56</v>
      </c>
      <c r="P4" s="12">
        <v>0.8571428571428571</v>
      </c>
      <c r="Q4" s="16">
        <v>1.7940175553213471E-2</v>
      </c>
      <c r="R4" s="16">
        <v>-1.1559288700843154E-2</v>
      </c>
      <c r="S4" s="2">
        <f t="shared" ref="S4:S7" si="0">P4*100</f>
        <v>85.714285714285708</v>
      </c>
      <c r="T4" s="2">
        <f t="shared" ref="T4:T7" si="1">100-(Q4*100)</f>
        <v>98.205982444678654</v>
      </c>
      <c r="U4" s="14">
        <f t="shared" ref="U4:U7" si="2">MIN(100,100-(R4*100))</f>
        <v>100</v>
      </c>
      <c r="V4" s="11">
        <f t="shared" ref="V4:V7" si="3">(S4*40%)+(T4*30%)+(U4*30%)</f>
        <v>93.747509019117871</v>
      </c>
      <c r="W4" s="14" t="str">
        <f t="shared" ref="W4:W7" si="4">IF(V4&gt;=90,"Excellent",IF(V4&gt;=80,"Good",IF(V4&gt;=70,"Needs Improvement","Poor")))</f>
        <v>Excellent</v>
      </c>
      <c r="X4" s="14">
        <f t="shared" ref="X4:X7" si="5">_xlfn.RANK.EQ(V4,$V$3:$V$7,0)</f>
        <v>2</v>
      </c>
    </row>
    <row r="5" spans="1:24" x14ac:dyDescent="0.25">
      <c r="A5" s="10" t="s">
        <v>28</v>
      </c>
      <c r="B5" s="12">
        <v>0.8571428571428571</v>
      </c>
      <c r="D5" s="10" t="s">
        <v>46</v>
      </c>
      <c r="E5" s="16">
        <v>1.9191439892213929E-2</v>
      </c>
      <c r="G5" s="10" t="s">
        <v>394</v>
      </c>
      <c r="H5" s="2">
        <v>7</v>
      </c>
      <c r="J5" t="str">
        <v>Edo → Kwara</v>
      </c>
      <c r="K5">
        <v>7</v>
      </c>
      <c r="N5" s="10" t="s">
        <v>63</v>
      </c>
      <c r="O5" s="13">
        <v>58</v>
      </c>
      <c r="P5" s="12">
        <v>0.84482758620689657</v>
      </c>
      <c r="Q5" s="16">
        <v>1.7923005193739992E-2</v>
      </c>
      <c r="R5" s="16">
        <v>-3.5718456222982663E-2</v>
      </c>
      <c r="S5" s="2">
        <f t="shared" si="0"/>
        <v>84.482758620689651</v>
      </c>
      <c r="T5" s="2">
        <f t="shared" si="1"/>
        <v>98.207699480626005</v>
      </c>
      <c r="U5" s="14">
        <f t="shared" si="2"/>
        <v>100</v>
      </c>
      <c r="V5" s="11">
        <f t="shared" si="3"/>
        <v>93.255413292463658</v>
      </c>
      <c r="W5" s="14" t="str">
        <f t="shared" si="4"/>
        <v>Excellent</v>
      </c>
      <c r="X5" s="14">
        <f t="shared" si="5"/>
        <v>3</v>
      </c>
    </row>
    <row r="6" spans="1:24" x14ac:dyDescent="0.25">
      <c r="A6" s="10" t="s">
        <v>63</v>
      </c>
      <c r="B6" s="12">
        <v>0.84482758620689657</v>
      </c>
      <c r="D6" s="10" t="s">
        <v>53</v>
      </c>
      <c r="E6" s="16">
        <v>1.8487671232703073E-2</v>
      </c>
      <c r="G6" s="10" t="s">
        <v>402</v>
      </c>
      <c r="H6" s="2">
        <v>6</v>
      </c>
      <c r="J6" t="str">
        <v>Lagos → Delta</v>
      </c>
      <c r="K6">
        <v>6</v>
      </c>
      <c r="N6" s="10" t="s">
        <v>53</v>
      </c>
      <c r="O6" s="13">
        <v>57</v>
      </c>
      <c r="P6" s="12">
        <v>0.82456140350877194</v>
      </c>
      <c r="Q6" s="16">
        <v>1.8487671232703073E-2</v>
      </c>
      <c r="R6" s="16">
        <v>-1.8586848272762323E-2</v>
      </c>
      <c r="S6" s="2">
        <f t="shared" si="0"/>
        <v>82.456140350877192</v>
      </c>
      <c r="T6" s="2">
        <f t="shared" si="1"/>
        <v>98.151232876729694</v>
      </c>
      <c r="U6" s="14">
        <f t="shared" si="2"/>
        <v>100</v>
      </c>
      <c r="V6" s="11">
        <f t="shared" si="3"/>
        <v>92.427826003369788</v>
      </c>
      <c r="W6" s="14" t="str">
        <f t="shared" si="4"/>
        <v>Excellent</v>
      </c>
      <c r="X6" s="14">
        <f t="shared" si="5"/>
        <v>4</v>
      </c>
    </row>
    <row r="7" spans="1:24" x14ac:dyDescent="0.25">
      <c r="A7" s="10" t="s">
        <v>53</v>
      </c>
      <c r="B7" s="12">
        <v>0.82456140350877194</v>
      </c>
      <c r="D7" s="10" t="s">
        <v>28</v>
      </c>
      <c r="E7" s="16">
        <v>1.7940175553213471E-2</v>
      </c>
      <c r="G7" s="10" t="s">
        <v>395</v>
      </c>
      <c r="H7" s="2">
        <v>5.5</v>
      </c>
      <c r="J7" t="str">
        <v>Edo → Ogun</v>
      </c>
      <c r="K7">
        <v>5.5</v>
      </c>
      <c r="N7" s="10" t="s">
        <v>46</v>
      </c>
      <c r="O7" s="13">
        <v>64</v>
      </c>
      <c r="P7" s="12">
        <v>0.8125</v>
      </c>
      <c r="Q7" s="16">
        <v>1.9191439892213929E-2</v>
      </c>
      <c r="R7" s="16">
        <v>-2.3137555894098369E-2</v>
      </c>
      <c r="S7" s="2">
        <f t="shared" si="0"/>
        <v>81.25</v>
      </c>
      <c r="T7" s="2">
        <f t="shared" si="1"/>
        <v>98.080856010778604</v>
      </c>
      <c r="U7" s="14">
        <f t="shared" si="2"/>
        <v>100</v>
      </c>
      <c r="V7" s="11">
        <f t="shared" si="3"/>
        <v>91.924256803233575</v>
      </c>
      <c r="W7" s="14" t="str">
        <f t="shared" si="4"/>
        <v>Excellent</v>
      </c>
      <c r="X7" s="14">
        <f t="shared" si="5"/>
        <v>5</v>
      </c>
    </row>
    <row r="8" spans="1:24" x14ac:dyDescent="0.25">
      <c r="A8" s="10" t="s">
        <v>46</v>
      </c>
      <c r="B8" s="12">
        <v>0.8125</v>
      </c>
      <c r="D8" s="10" t="s">
        <v>63</v>
      </c>
      <c r="E8" s="16">
        <v>1.7923005193739992E-2</v>
      </c>
      <c r="G8" s="10" t="s">
        <v>377</v>
      </c>
      <c r="H8" s="2">
        <v>6.375</v>
      </c>
      <c r="N8" s="10" t="s">
        <v>377</v>
      </c>
      <c r="O8" s="13">
        <v>300</v>
      </c>
      <c r="P8" s="12">
        <v>0.84333333333333338</v>
      </c>
      <c r="Q8" s="16">
        <v>1.8916371958115824E-2</v>
      </c>
      <c r="R8" s="16">
        <v>-1.8409745118611768E-2</v>
      </c>
      <c r="S8" s="2"/>
      <c r="T8" s="2"/>
      <c r="U8" s="14"/>
      <c r="V8" s="11"/>
      <c r="W8" s="14"/>
    </row>
    <row r="9" spans="1:24" x14ac:dyDescent="0.25">
      <c r="A9" s="10" t="s">
        <v>377</v>
      </c>
      <c r="B9" s="12">
        <v>0.84333333333333338</v>
      </c>
      <c r="D9" s="10" t="s">
        <v>377</v>
      </c>
      <c r="E9" s="16">
        <v>1.8916371958115824E-2</v>
      </c>
    </row>
    <row r="11" spans="1:24" x14ac:dyDescent="0.25">
      <c r="P11" t="s">
        <v>5</v>
      </c>
      <c r="Q11" t="s">
        <v>439</v>
      </c>
      <c r="S11" t="s">
        <v>445</v>
      </c>
    </row>
    <row r="12" spans="1:24" x14ac:dyDescent="0.25">
      <c r="P12" s="10" t="s">
        <v>37</v>
      </c>
      <c r="Q12" s="2">
        <f>V3</f>
        <v>94.454456288375951</v>
      </c>
      <c r="S12" t="s">
        <v>446</v>
      </c>
      <c r="U12" s="17">
        <f>GETPIVOTDATA("Average of On_Time_Flag",$N$2)</f>
        <v>0.84333333333333338</v>
      </c>
    </row>
    <row r="13" spans="1:24" x14ac:dyDescent="0.25">
      <c r="A13" s="3" t="s">
        <v>419</v>
      </c>
      <c r="B13" s="3"/>
      <c r="P13" s="10" t="s">
        <v>28</v>
      </c>
      <c r="Q13" s="2">
        <f t="shared" ref="Q13:Q16" si="6">V4</f>
        <v>93.747509019117871</v>
      </c>
      <c r="S13" t="s">
        <v>447</v>
      </c>
      <c r="U13" s="11">
        <f>GETPIVOTDATA("Delay_Days",$A$30)</f>
        <v>1.5866666666666667</v>
      </c>
    </row>
    <row r="14" spans="1:24" x14ac:dyDescent="0.25">
      <c r="A14" t="s">
        <v>431</v>
      </c>
      <c r="P14" s="10" t="s">
        <v>63</v>
      </c>
      <c r="Q14" s="2">
        <f t="shared" si="6"/>
        <v>93.255413292463658</v>
      </c>
      <c r="S14" t="s">
        <v>448</v>
      </c>
      <c r="U14" s="18">
        <f>GETPIVOTDATA("Average of Damage_Rate",$N$2)</f>
        <v>1.8916371958115824E-2</v>
      </c>
    </row>
    <row r="15" spans="1:24" x14ac:dyDescent="0.25">
      <c r="A15" s="9" t="s">
        <v>376</v>
      </c>
      <c r="B15" t="s">
        <v>381</v>
      </c>
      <c r="P15" s="10" t="s">
        <v>53</v>
      </c>
      <c r="Q15" s="2">
        <f t="shared" si="6"/>
        <v>92.427826003369788</v>
      </c>
      <c r="S15" t="s">
        <v>449</v>
      </c>
      <c r="U15" s="15">
        <f>GETPIVOTDATA("Sum of Freight_Cost_NGN",$A$57)</f>
        <v>295604216</v>
      </c>
    </row>
    <row r="16" spans="1:24" x14ac:dyDescent="0.25">
      <c r="A16" s="10" t="s">
        <v>425</v>
      </c>
      <c r="B16" s="11">
        <v>1.4197530864197532</v>
      </c>
      <c r="P16" s="10" t="s">
        <v>46</v>
      </c>
      <c r="Q16" s="2">
        <f t="shared" si="6"/>
        <v>91.924256803233575</v>
      </c>
      <c r="S16" t="s">
        <v>450</v>
      </c>
      <c r="U16" s="18">
        <f>GETPIVOTDATA("Average of Cost_Variance_%",$N$2)</f>
        <v>-1.8409745118611768E-2</v>
      </c>
    </row>
    <row r="17" spans="1:21" x14ac:dyDescent="0.25">
      <c r="A17" s="10" t="s">
        <v>426</v>
      </c>
      <c r="B17" s="11">
        <v>2.0508474576271185</v>
      </c>
      <c r="P17" s="10" t="s">
        <v>453</v>
      </c>
      <c r="Q17" s="2">
        <f>AVERAGE(Q12:Q16)</f>
        <v>93.161892281312163</v>
      </c>
      <c r="S17" t="s">
        <v>451</v>
      </c>
      <c r="U17">
        <f>GETPIVOTDATA("Count of Units_Shipped",$A$44)</f>
        <v>300</v>
      </c>
    </row>
    <row r="18" spans="1:21" x14ac:dyDescent="0.25">
      <c r="A18" s="10" t="s">
        <v>427</v>
      </c>
      <c r="B18" s="11">
        <v>0.74285714285714288</v>
      </c>
      <c r="S18" t="s">
        <v>454</v>
      </c>
      <c r="U18" s="15">
        <f>GETPIVOTDATA("Cost_Variance_NGN",$A$66)</f>
        <v>-6701887</v>
      </c>
    </row>
    <row r="19" spans="1:21" x14ac:dyDescent="0.25">
      <c r="A19" s="10" t="s">
        <v>428</v>
      </c>
      <c r="B19" s="11">
        <v>1.712</v>
      </c>
      <c r="P19" s="10" t="s">
        <v>452</v>
      </c>
      <c r="Q19" s="1">
        <f ca="1">TODAY()</f>
        <v>46286</v>
      </c>
    </row>
    <row r="20" spans="1:21" x14ac:dyDescent="0.25">
      <c r="A20" s="10" t="s">
        <v>377</v>
      </c>
      <c r="B20" s="11">
        <v>1.5866666666666667</v>
      </c>
    </row>
    <row r="22" spans="1:21" x14ac:dyDescent="0.25">
      <c r="A22" t="s">
        <v>432</v>
      </c>
      <c r="G22" s="9" t="s">
        <v>376</v>
      </c>
      <c r="H22" t="s">
        <v>380</v>
      </c>
    </row>
    <row r="23" spans="1:21" x14ac:dyDescent="0.25">
      <c r="A23" s="9" t="s">
        <v>376</v>
      </c>
      <c r="B23" t="s">
        <v>381</v>
      </c>
      <c r="G23" s="10" t="s">
        <v>392</v>
      </c>
      <c r="H23" s="15">
        <v>182414</v>
      </c>
      <c r="J23" t="str" cm="1">
        <f t="array" ref="J23:K27">G23:H27</f>
        <v>Delta → Rivers</v>
      </c>
      <c r="K23" s="15">
        <v>182414</v>
      </c>
    </row>
    <row r="24" spans="1:21" x14ac:dyDescent="0.25">
      <c r="A24" s="10" t="s">
        <v>60</v>
      </c>
      <c r="B24" s="11">
        <v>1.3214285714285714</v>
      </c>
      <c r="G24" s="10" t="s">
        <v>414</v>
      </c>
      <c r="H24" s="15">
        <v>155365</v>
      </c>
      <c r="J24" t="str">
        <v>Rivers → Kaduna</v>
      </c>
      <c r="K24" s="15">
        <v>155365</v>
      </c>
      <c r="O24" t="s">
        <v>455</v>
      </c>
    </row>
    <row r="25" spans="1:21" x14ac:dyDescent="0.25">
      <c r="A25" s="10" t="s">
        <v>32</v>
      </c>
      <c r="B25" s="11">
        <v>1.5348837209302326</v>
      </c>
      <c r="G25" s="10" t="s">
        <v>389</v>
      </c>
      <c r="H25" s="15">
        <v>130768</v>
      </c>
      <c r="J25" t="str">
        <v>Delta → Edo</v>
      </c>
      <c r="K25" s="15">
        <v>130768</v>
      </c>
    </row>
    <row r="26" spans="1:21" x14ac:dyDescent="0.25">
      <c r="A26" s="10" t="s">
        <v>41</v>
      </c>
      <c r="B26" s="11">
        <v>1.6505376344086022</v>
      </c>
      <c r="G26" s="10" t="s">
        <v>410</v>
      </c>
      <c r="H26" s="15">
        <v>130349</v>
      </c>
      <c r="J26" t="str">
        <v>Plateau → Enugu</v>
      </c>
      <c r="K26" s="15">
        <v>130349</v>
      </c>
    </row>
    <row r="27" spans="1:21" x14ac:dyDescent="0.25">
      <c r="A27" s="10" t="s">
        <v>377</v>
      </c>
      <c r="B27" s="11">
        <v>1.5866666666666667</v>
      </c>
      <c r="G27" s="10" t="s">
        <v>415</v>
      </c>
      <c r="H27" s="15">
        <v>129438</v>
      </c>
      <c r="J27" t="str">
        <v>Rivers → Lagos</v>
      </c>
      <c r="K27" s="15">
        <v>129438</v>
      </c>
    </row>
    <row r="28" spans="1:21" x14ac:dyDescent="0.25">
      <c r="G28" s="10" t="s">
        <v>377</v>
      </c>
      <c r="H28" s="15">
        <v>728334</v>
      </c>
    </row>
    <row r="29" spans="1:21" x14ac:dyDescent="0.25">
      <c r="A29" t="s">
        <v>433</v>
      </c>
    </row>
    <row r="30" spans="1:21" x14ac:dyDescent="0.25">
      <c r="A30" s="9" t="s">
        <v>376</v>
      </c>
      <c r="B30" t="s">
        <v>381</v>
      </c>
    </row>
    <row r="31" spans="1:21" x14ac:dyDescent="0.25">
      <c r="A31" s="10" t="s">
        <v>27</v>
      </c>
      <c r="B31" s="11">
        <v>1.5609756097560976</v>
      </c>
    </row>
    <row r="32" spans="1:21" x14ac:dyDescent="0.25">
      <c r="A32" s="10" t="s">
        <v>36</v>
      </c>
      <c r="B32" s="11">
        <v>1.4761904761904763</v>
      </c>
    </row>
    <row r="33" spans="1:14" x14ac:dyDescent="0.25">
      <c r="A33" s="10" t="s">
        <v>67</v>
      </c>
      <c r="B33" s="11">
        <v>1.5365853658536586</v>
      </c>
    </row>
    <row r="34" spans="1:14" x14ac:dyDescent="0.25">
      <c r="A34" s="10" t="s">
        <v>85</v>
      </c>
      <c r="B34" s="11">
        <v>1.9090909090909092</v>
      </c>
    </row>
    <row r="35" spans="1:14" x14ac:dyDescent="0.25">
      <c r="A35" s="10" t="s">
        <v>45</v>
      </c>
      <c r="B35" s="11">
        <v>1.7560975609756098</v>
      </c>
    </row>
    <row r="36" spans="1:14" x14ac:dyDescent="0.25">
      <c r="A36" s="10" t="s">
        <v>52</v>
      </c>
      <c r="B36" s="11">
        <v>1.3255813953488371</v>
      </c>
    </row>
    <row r="37" spans="1:14" x14ac:dyDescent="0.25">
      <c r="A37" s="10" t="s">
        <v>57</v>
      </c>
      <c r="B37" s="11">
        <v>1.84375</v>
      </c>
    </row>
    <row r="38" spans="1:14" x14ac:dyDescent="0.25">
      <c r="A38" s="10" t="s">
        <v>103</v>
      </c>
      <c r="B38" s="11">
        <v>1.3333333333333333</v>
      </c>
    </row>
    <row r="39" spans="1:14" x14ac:dyDescent="0.25">
      <c r="A39" s="10" t="s">
        <v>377</v>
      </c>
      <c r="B39" s="11">
        <v>1.5866666666666667</v>
      </c>
    </row>
    <row r="42" spans="1:14" x14ac:dyDescent="0.25">
      <c r="F42" t="s">
        <v>437</v>
      </c>
    </row>
    <row r="43" spans="1:14" x14ac:dyDescent="0.25">
      <c r="A43" t="s">
        <v>434</v>
      </c>
      <c r="F43" s="9" t="s">
        <v>376</v>
      </c>
      <c r="G43" t="s">
        <v>379</v>
      </c>
      <c r="I43" s="9" t="s">
        <v>376</v>
      </c>
      <c r="J43" t="s">
        <v>420</v>
      </c>
      <c r="M43" s="9" t="s">
        <v>376</v>
      </c>
      <c r="N43" t="s">
        <v>383</v>
      </c>
    </row>
    <row r="44" spans="1:14" x14ac:dyDescent="0.25">
      <c r="A44" s="9" t="s">
        <v>376</v>
      </c>
      <c r="B44" s="14" t="s">
        <v>436</v>
      </c>
      <c r="C44" s="14" t="s">
        <v>383</v>
      </c>
      <c r="F44" s="10">
        <v>25</v>
      </c>
      <c r="G44" s="15">
        <v>1066770</v>
      </c>
      <c r="I44" s="10">
        <v>25</v>
      </c>
      <c r="J44" s="13">
        <v>3</v>
      </c>
      <c r="M44" s="10">
        <v>25</v>
      </c>
      <c r="N44" s="16">
        <v>2.6315789473684209E-2</v>
      </c>
    </row>
    <row r="45" spans="1:14" x14ac:dyDescent="0.25">
      <c r="A45" s="10" t="s">
        <v>85</v>
      </c>
      <c r="B45" s="13">
        <v>33</v>
      </c>
      <c r="C45" s="16">
        <v>2.2340758908262169E-2</v>
      </c>
      <c r="F45" s="10">
        <v>26</v>
      </c>
      <c r="G45" s="15">
        <v>1699264</v>
      </c>
      <c r="I45" s="10">
        <v>26</v>
      </c>
      <c r="J45" s="13">
        <v>4</v>
      </c>
      <c r="M45" s="10">
        <v>26</v>
      </c>
      <c r="N45" s="16">
        <v>1.3333333333333334E-2</v>
      </c>
    </row>
    <row r="46" spans="1:14" x14ac:dyDescent="0.25">
      <c r="A46" s="10" t="s">
        <v>27</v>
      </c>
      <c r="B46" s="13">
        <v>41</v>
      </c>
      <c r="C46" s="16">
        <v>2.1000619794122329E-2</v>
      </c>
      <c r="F46" s="10">
        <v>28</v>
      </c>
      <c r="G46" s="15">
        <v>150612</v>
      </c>
      <c r="I46" s="10">
        <v>28</v>
      </c>
      <c r="J46" s="13">
        <v>8</v>
      </c>
      <c r="M46" s="10">
        <v>28</v>
      </c>
      <c r="N46" s="16">
        <v>0</v>
      </c>
    </row>
    <row r="47" spans="1:14" x14ac:dyDescent="0.25">
      <c r="A47" s="10" t="s">
        <v>36</v>
      </c>
      <c r="B47" s="13">
        <v>42</v>
      </c>
      <c r="C47" s="16">
        <v>2.0736006457634789E-2</v>
      </c>
      <c r="F47" s="10">
        <v>31</v>
      </c>
      <c r="G47" s="15">
        <v>391618</v>
      </c>
      <c r="I47" s="10">
        <v>31</v>
      </c>
      <c r="J47" s="13">
        <v>3</v>
      </c>
      <c r="M47" s="10">
        <v>31</v>
      </c>
      <c r="N47" s="16">
        <v>2.7777777777777776E-2</v>
      </c>
    </row>
    <row r="48" spans="1:14" x14ac:dyDescent="0.25">
      <c r="A48" s="10" t="s">
        <v>103</v>
      </c>
      <c r="B48" s="13">
        <v>27</v>
      </c>
      <c r="C48" s="16">
        <v>1.99743301246256E-2</v>
      </c>
      <c r="F48" s="10">
        <v>32</v>
      </c>
      <c r="G48" s="15">
        <v>841536</v>
      </c>
      <c r="I48" s="10">
        <v>32</v>
      </c>
      <c r="J48" s="13">
        <v>9</v>
      </c>
      <c r="M48" s="10">
        <v>32</v>
      </c>
      <c r="N48" s="16">
        <v>1.4492753623188406E-2</v>
      </c>
    </row>
    <row r="49" spans="1:14" x14ac:dyDescent="0.25">
      <c r="A49" s="10" t="s">
        <v>67</v>
      </c>
      <c r="B49" s="13">
        <v>41</v>
      </c>
      <c r="C49" s="16">
        <v>1.8484111587629876E-2</v>
      </c>
      <c r="F49" s="10">
        <v>35</v>
      </c>
      <c r="G49" s="15">
        <v>1637052</v>
      </c>
      <c r="I49" s="10">
        <v>35</v>
      </c>
      <c r="J49" s="13">
        <v>6</v>
      </c>
      <c r="M49" s="10">
        <v>35</v>
      </c>
      <c r="N49" s="16">
        <v>1.3157894736842105E-2</v>
      </c>
    </row>
    <row r="50" spans="1:14" x14ac:dyDescent="0.25">
      <c r="A50" s="10" t="s">
        <v>57</v>
      </c>
      <c r="B50" s="13">
        <v>32</v>
      </c>
      <c r="C50" s="16">
        <v>1.8045876686908321E-2</v>
      </c>
      <c r="F50" s="10">
        <v>36</v>
      </c>
      <c r="G50" s="15">
        <v>306135</v>
      </c>
      <c r="I50" s="10">
        <v>36</v>
      </c>
      <c r="J50" s="13">
        <v>7</v>
      </c>
      <c r="M50" s="10">
        <v>36</v>
      </c>
      <c r="N50" s="16">
        <v>0</v>
      </c>
    </row>
    <row r="51" spans="1:14" x14ac:dyDescent="0.25">
      <c r="A51" s="10" t="s">
        <v>52</v>
      </c>
      <c r="B51" s="13">
        <v>43</v>
      </c>
      <c r="C51" s="16">
        <v>1.6107636443472281E-2</v>
      </c>
      <c r="F51" s="10">
        <v>37</v>
      </c>
      <c r="G51" s="15">
        <v>1122649</v>
      </c>
      <c r="I51" s="10">
        <v>37</v>
      </c>
      <c r="J51" s="13">
        <v>5</v>
      </c>
      <c r="M51" s="10">
        <v>37</v>
      </c>
      <c r="N51" s="16">
        <v>1.5503875968992248E-2</v>
      </c>
    </row>
    <row r="52" spans="1:14" x14ac:dyDescent="0.25">
      <c r="A52" s="10" t="s">
        <v>45</v>
      </c>
      <c r="B52" s="13">
        <v>41</v>
      </c>
      <c r="C52" s="16">
        <v>1.557260856522754E-2</v>
      </c>
      <c r="F52" s="10">
        <v>38</v>
      </c>
      <c r="G52" s="15">
        <v>1324060</v>
      </c>
      <c r="I52" s="10">
        <v>38</v>
      </c>
      <c r="J52" s="13">
        <v>5</v>
      </c>
      <c r="M52" s="10">
        <v>38</v>
      </c>
      <c r="N52" s="16">
        <v>1.6949152542372881E-2</v>
      </c>
    </row>
    <row r="53" spans="1:14" x14ac:dyDescent="0.25">
      <c r="A53" s="10" t="s">
        <v>377</v>
      </c>
      <c r="B53" s="13">
        <v>300</v>
      </c>
      <c r="C53" s="16">
        <v>1.8916371958115821E-2</v>
      </c>
      <c r="F53" s="10">
        <v>42</v>
      </c>
      <c r="G53" s="15">
        <v>130698</v>
      </c>
      <c r="I53" s="10">
        <v>42</v>
      </c>
      <c r="J53" s="13">
        <v>1</v>
      </c>
      <c r="M53" s="10">
        <v>42</v>
      </c>
      <c r="N53" s="16">
        <v>0</v>
      </c>
    </row>
    <row r="54" spans="1:14" x14ac:dyDescent="0.25">
      <c r="F54" s="10">
        <v>45</v>
      </c>
      <c r="G54" s="15">
        <v>523055</v>
      </c>
      <c r="I54" s="10">
        <v>45</v>
      </c>
      <c r="J54" s="13">
        <v>5</v>
      </c>
      <c r="M54" s="10">
        <v>45</v>
      </c>
      <c r="N54" s="16">
        <v>1.6129032258064516E-2</v>
      </c>
    </row>
    <row r="55" spans="1:14" x14ac:dyDescent="0.25">
      <c r="F55" s="10">
        <v>46</v>
      </c>
      <c r="G55" s="15">
        <v>909728</v>
      </c>
      <c r="I55" s="10">
        <v>46</v>
      </c>
      <c r="J55" s="13">
        <v>8</v>
      </c>
      <c r="M55" s="10">
        <v>46</v>
      </c>
      <c r="N55" s="16">
        <v>1.1363636363636364E-2</v>
      </c>
    </row>
    <row r="56" spans="1:14" x14ac:dyDescent="0.25">
      <c r="A56" t="s">
        <v>435</v>
      </c>
      <c r="F56" s="10">
        <v>49</v>
      </c>
      <c r="G56" s="15">
        <v>960862</v>
      </c>
      <c r="I56" s="10">
        <v>49</v>
      </c>
      <c r="J56" s="13">
        <v>3</v>
      </c>
      <c r="M56" s="10">
        <v>49</v>
      </c>
      <c r="N56" s="16">
        <v>2.9166666666666667E-2</v>
      </c>
    </row>
    <row r="57" spans="1:14" x14ac:dyDescent="0.25">
      <c r="A57" s="9" t="s">
        <v>376</v>
      </c>
      <c r="B57" s="14" t="s">
        <v>422</v>
      </c>
      <c r="C57" s="14" t="s">
        <v>379</v>
      </c>
      <c r="F57" s="10">
        <v>50</v>
      </c>
      <c r="G57" s="15">
        <v>333032</v>
      </c>
      <c r="I57" s="10">
        <v>50</v>
      </c>
      <c r="J57" s="13">
        <v>8</v>
      </c>
      <c r="M57" s="10">
        <v>50</v>
      </c>
      <c r="N57" s="16">
        <v>3.125E-2</v>
      </c>
    </row>
    <row r="58" spans="1:14" x14ac:dyDescent="0.25">
      <c r="A58" s="10" t="s">
        <v>63</v>
      </c>
      <c r="B58" s="15">
        <v>60086903</v>
      </c>
      <c r="C58" s="15">
        <v>57807682</v>
      </c>
      <c r="F58" s="10">
        <v>54</v>
      </c>
      <c r="G58" s="15">
        <v>1005336</v>
      </c>
      <c r="I58" s="10">
        <v>54</v>
      </c>
      <c r="J58" s="13">
        <v>2</v>
      </c>
      <c r="M58" s="10">
        <v>54</v>
      </c>
      <c r="N58" s="16">
        <v>7.9365079365079361E-3</v>
      </c>
    </row>
    <row r="59" spans="1:14" x14ac:dyDescent="0.25">
      <c r="A59" s="10" t="s">
        <v>28</v>
      </c>
      <c r="B59" s="15">
        <v>55262170</v>
      </c>
      <c r="C59" s="15">
        <v>54214496</v>
      </c>
      <c r="F59" s="10">
        <v>59</v>
      </c>
      <c r="G59" s="15">
        <v>1104785</v>
      </c>
      <c r="I59" s="10">
        <v>59</v>
      </c>
      <c r="J59" s="13">
        <v>6</v>
      </c>
      <c r="M59" s="10">
        <v>59</v>
      </c>
      <c r="N59" s="16">
        <v>3.2520325203252036E-2</v>
      </c>
    </row>
    <row r="60" spans="1:14" x14ac:dyDescent="0.25">
      <c r="A60" s="10" t="s">
        <v>53</v>
      </c>
      <c r="B60" s="15">
        <v>57590121</v>
      </c>
      <c r="C60" s="15">
        <v>56168662</v>
      </c>
      <c r="F60" s="10">
        <v>60</v>
      </c>
      <c r="G60" s="15">
        <v>864802</v>
      </c>
      <c r="I60" s="10">
        <v>60</v>
      </c>
      <c r="J60" s="13">
        <v>6</v>
      </c>
      <c r="M60" s="10">
        <v>60</v>
      </c>
      <c r="N60" s="16">
        <v>0</v>
      </c>
    </row>
    <row r="61" spans="1:14" x14ac:dyDescent="0.25">
      <c r="A61" s="10" t="s">
        <v>46</v>
      </c>
      <c r="B61" s="15">
        <v>66606102</v>
      </c>
      <c r="C61" s="15">
        <v>64914120</v>
      </c>
      <c r="F61" s="10">
        <v>67</v>
      </c>
      <c r="G61" s="15">
        <v>1033311</v>
      </c>
      <c r="I61" s="10">
        <v>67</v>
      </c>
      <c r="J61" s="13">
        <v>10</v>
      </c>
      <c r="M61" s="10">
        <v>67</v>
      </c>
      <c r="N61" s="16">
        <v>3.1810294968189705E-2</v>
      </c>
    </row>
    <row r="62" spans="1:14" x14ac:dyDescent="0.25">
      <c r="A62" s="10" t="s">
        <v>37</v>
      </c>
      <c r="B62" s="15">
        <v>62760807</v>
      </c>
      <c r="C62" s="15">
        <v>62499256</v>
      </c>
      <c r="F62" s="10">
        <v>72</v>
      </c>
      <c r="G62" s="15">
        <v>272490</v>
      </c>
      <c r="I62" s="10">
        <v>72</v>
      </c>
      <c r="J62" s="13">
        <v>6</v>
      </c>
      <c r="M62" s="10">
        <v>72</v>
      </c>
      <c r="N62" s="16">
        <v>2.7027027027027029E-2</v>
      </c>
    </row>
    <row r="63" spans="1:14" x14ac:dyDescent="0.25">
      <c r="A63" s="10" t="s">
        <v>377</v>
      </c>
      <c r="B63" s="15">
        <v>302306103</v>
      </c>
      <c r="C63" s="15">
        <v>295604216</v>
      </c>
      <c r="F63" s="10">
        <v>77</v>
      </c>
      <c r="G63" s="15">
        <v>1122548</v>
      </c>
      <c r="I63" s="10">
        <v>77</v>
      </c>
      <c r="J63" s="13">
        <v>8</v>
      </c>
      <c r="M63" s="10">
        <v>77</v>
      </c>
      <c r="N63" s="16">
        <v>0</v>
      </c>
    </row>
    <row r="64" spans="1:14" x14ac:dyDescent="0.25">
      <c r="F64" s="10">
        <v>78</v>
      </c>
      <c r="G64" s="15">
        <v>1391906</v>
      </c>
      <c r="I64" s="10">
        <v>78</v>
      </c>
      <c r="J64" s="13">
        <v>4</v>
      </c>
      <c r="M64" s="10">
        <v>78</v>
      </c>
      <c r="N64" s="16">
        <v>0</v>
      </c>
    </row>
    <row r="65" spans="1:14" x14ac:dyDescent="0.25">
      <c r="F65" s="10">
        <v>79</v>
      </c>
      <c r="G65" s="15">
        <v>172576</v>
      </c>
      <c r="I65" s="10">
        <v>79</v>
      </c>
      <c r="J65" s="13">
        <v>5</v>
      </c>
      <c r="M65" s="10">
        <v>79</v>
      </c>
      <c r="N65" s="16">
        <v>0</v>
      </c>
    </row>
    <row r="66" spans="1:14" x14ac:dyDescent="0.25">
      <c r="A66" s="9" t="s">
        <v>376</v>
      </c>
      <c r="B66" t="s">
        <v>380</v>
      </c>
      <c r="F66" s="10">
        <v>83</v>
      </c>
      <c r="G66" s="15">
        <v>2369165</v>
      </c>
      <c r="I66" s="10">
        <v>83</v>
      </c>
      <c r="J66" s="13">
        <v>10</v>
      </c>
      <c r="M66" s="10">
        <v>83</v>
      </c>
      <c r="N66" s="16">
        <v>2.2487593052109182E-2</v>
      </c>
    </row>
    <row r="67" spans="1:14" x14ac:dyDescent="0.25">
      <c r="A67" s="10" t="s">
        <v>456</v>
      </c>
      <c r="B67" s="19">
        <v>-31681</v>
      </c>
      <c r="F67" s="10">
        <v>90</v>
      </c>
      <c r="G67" s="15">
        <v>1205923</v>
      </c>
      <c r="I67" s="10">
        <v>90</v>
      </c>
      <c r="J67" s="13">
        <v>6</v>
      </c>
      <c r="M67" s="10">
        <v>90</v>
      </c>
      <c r="N67" s="16">
        <v>8.1967213114754103E-3</v>
      </c>
    </row>
    <row r="68" spans="1:14" x14ac:dyDescent="0.25">
      <c r="A68" s="10" t="s">
        <v>385</v>
      </c>
      <c r="B68" s="19">
        <v>-71411</v>
      </c>
      <c r="F68" s="10">
        <v>91</v>
      </c>
      <c r="G68" s="15">
        <v>1702836</v>
      </c>
      <c r="I68" s="10">
        <v>91</v>
      </c>
      <c r="J68" s="13">
        <v>6</v>
      </c>
      <c r="M68" s="10">
        <v>91</v>
      </c>
      <c r="N68" s="16">
        <v>1.4492753623188406E-2</v>
      </c>
    </row>
    <row r="69" spans="1:14" x14ac:dyDescent="0.25">
      <c r="A69" s="10" t="s">
        <v>457</v>
      </c>
      <c r="B69" s="19">
        <v>32764</v>
      </c>
      <c r="F69" s="10">
        <v>97</v>
      </c>
      <c r="G69" s="15">
        <v>599019</v>
      </c>
      <c r="I69" s="10">
        <v>97</v>
      </c>
      <c r="J69" s="13">
        <v>6</v>
      </c>
      <c r="M69" s="10">
        <v>97</v>
      </c>
      <c r="N69" s="16">
        <v>2.0408163265306121E-2</v>
      </c>
    </row>
    <row r="70" spans="1:14" x14ac:dyDescent="0.25">
      <c r="A70" s="10" t="s">
        <v>458</v>
      </c>
      <c r="B70" s="19">
        <v>-153901</v>
      </c>
      <c r="F70" s="10">
        <v>98</v>
      </c>
      <c r="G70" s="15">
        <v>2089615</v>
      </c>
      <c r="I70" s="10">
        <v>98</v>
      </c>
      <c r="J70" s="13">
        <v>5</v>
      </c>
      <c r="M70" s="10">
        <v>98</v>
      </c>
      <c r="N70" s="16">
        <v>1.9607843137254902E-2</v>
      </c>
    </row>
    <row r="71" spans="1:14" x14ac:dyDescent="0.25">
      <c r="A71" s="10" t="s">
        <v>459</v>
      </c>
      <c r="B71" s="19">
        <v>-38597</v>
      </c>
      <c r="F71" s="10">
        <v>99</v>
      </c>
      <c r="G71" s="15">
        <v>862035</v>
      </c>
      <c r="I71" s="10">
        <v>99</v>
      </c>
      <c r="J71" s="13">
        <v>3</v>
      </c>
      <c r="M71" s="10">
        <v>99</v>
      </c>
      <c r="N71" s="16">
        <v>2.8301886792452831E-2</v>
      </c>
    </row>
    <row r="72" spans="1:14" x14ac:dyDescent="0.25">
      <c r="A72" s="10" t="s">
        <v>460</v>
      </c>
      <c r="B72" s="19">
        <v>38992</v>
      </c>
      <c r="F72" s="10">
        <v>100</v>
      </c>
      <c r="G72" s="15">
        <v>671314</v>
      </c>
      <c r="I72" s="10">
        <v>100</v>
      </c>
      <c r="J72" s="13">
        <v>4</v>
      </c>
      <c r="M72" s="10">
        <v>100</v>
      </c>
      <c r="N72" s="16">
        <v>2.8985507246376812E-2</v>
      </c>
    </row>
    <row r="73" spans="1:14" x14ac:dyDescent="0.25">
      <c r="A73" s="10" t="s">
        <v>461</v>
      </c>
      <c r="B73" s="19">
        <v>-20159</v>
      </c>
      <c r="F73" s="10">
        <v>103</v>
      </c>
      <c r="G73" s="15">
        <v>404439</v>
      </c>
      <c r="I73" s="10">
        <v>103</v>
      </c>
      <c r="J73" s="13">
        <v>3</v>
      </c>
      <c r="M73" s="10">
        <v>103</v>
      </c>
      <c r="N73" s="16">
        <v>3.4482758620689655E-2</v>
      </c>
    </row>
    <row r="74" spans="1:14" x14ac:dyDescent="0.25">
      <c r="A74" s="10" t="s">
        <v>462</v>
      </c>
      <c r="B74" s="19">
        <v>-25618</v>
      </c>
      <c r="F74" s="10">
        <v>115</v>
      </c>
      <c r="G74" s="15">
        <v>441365</v>
      </c>
      <c r="I74" s="10">
        <v>115</v>
      </c>
      <c r="J74" s="13">
        <v>4</v>
      </c>
      <c r="M74" s="10">
        <v>115</v>
      </c>
      <c r="N74" s="16">
        <v>2.9411764705882353E-2</v>
      </c>
    </row>
    <row r="75" spans="1:14" x14ac:dyDescent="0.25">
      <c r="A75" s="10" t="s">
        <v>386</v>
      </c>
      <c r="B75" s="19">
        <v>-255218</v>
      </c>
      <c r="F75" s="10">
        <v>117</v>
      </c>
      <c r="G75" s="15">
        <v>1172511</v>
      </c>
      <c r="I75" s="10">
        <v>117</v>
      </c>
      <c r="J75" s="13">
        <v>3</v>
      </c>
      <c r="M75" s="10">
        <v>117</v>
      </c>
      <c r="N75" s="16">
        <v>1.1111111111111112E-2</v>
      </c>
    </row>
    <row r="76" spans="1:14" x14ac:dyDescent="0.25">
      <c r="A76" s="10" t="s">
        <v>463</v>
      </c>
      <c r="B76" s="19">
        <v>-74069</v>
      </c>
      <c r="F76" s="10">
        <v>123</v>
      </c>
      <c r="G76" s="15">
        <v>234936</v>
      </c>
      <c r="I76" s="10">
        <v>123</v>
      </c>
      <c r="J76" s="13">
        <v>5</v>
      </c>
      <c r="M76" s="10">
        <v>123</v>
      </c>
      <c r="N76" s="16">
        <v>4.7619047619047616E-2</v>
      </c>
    </row>
    <row r="77" spans="1:14" x14ac:dyDescent="0.25">
      <c r="A77" s="10" t="s">
        <v>464</v>
      </c>
      <c r="B77" s="19">
        <v>-176538</v>
      </c>
      <c r="F77" s="10">
        <v>128</v>
      </c>
      <c r="G77" s="15">
        <v>2662880</v>
      </c>
      <c r="I77" s="10">
        <v>128</v>
      </c>
      <c r="J77" s="13">
        <v>13</v>
      </c>
      <c r="M77" s="10">
        <v>128</v>
      </c>
      <c r="N77" s="16">
        <v>1.4314768460575718E-2</v>
      </c>
    </row>
    <row r="78" spans="1:14" x14ac:dyDescent="0.25">
      <c r="A78" s="10" t="s">
        <v>465</v>
      </c>
      <c r="B78" s="19">
        <v>48612</v>
      </c>
      <c r="F78" s="10">
        <v>129</v>
      </c>
      <c r="G78" s="15">
        <v>563073</v>
      </c>
      <c r="I78" s="10">
        <v>129</v>
      </c>
      <c r="J78" s="13">
        <v>10</v>
      </c>
      <c r="M78" s="10">
        <v>129</v>
      </c>
      <c r="N78" s="16">
        <v>2.564102564102564E-2</v>
      </c>
    </row>
    <row r="79" spans="1:14" x14ac:dyDescent="0.25">
      <c r="A79" s="10" t="s">
        <v>387</v>
      </c>
      <c r="B79" s="19">
        <v>-51684</v>
      </c>
      <c r="F79" s="10">
        <v>132</v>
      </c>
      <c r="G79" s="15">
        <v>1292320</v>
      </c>
      <c r="I79" s="10">
        <v>132</v>
      </c>
      <c r="J79" s="13">
        <v>1</v>
      </c>
      <c r="M79" s="10">
        <v>132</v>
      </c>
      <c r="N79" s="16">
        <v>4.6052631578947366E-2</v>
      </c>
    </row>
    <row r="80" spans="1:14" x14ac:dyDescent="0.25">
      <c r="A80" s="10" t="s">
        <v>466</v>
      </c>
      <c r="B80" s="19">
        <v>-19346</v>
      </c>
      <c r="F80" s="10">
        <v>133</v>
      </c>
      <c r="G80" s="15">
        <v>475160</v>
      </c>
      <c r="I80" s="10">
        <v>133</v>
      </c>
      <c r="J80" s="13">
        <v>15</v>
      </c>
      <c r="M80" s="10">
        <v>133</v>
      </c>
      <c r="N80" s="16">
        <v>3.0303030303030304E-2</v>
      </c>
    </row>
    <row r="81" spans="1:14" x14ac:dyDescent="0.25">
      <c r="A81" s="10" t="s">
        <v>467</v>
      </c>
      <c r="B81" s="19">
        <v>36205</v>
      </c>
      <c r="F81" s="10">
        <v>135</v>
      </c>
      <c r="G81" s="15">
        <v>666440</v>
      </c>
      <c r="I81" s="10">
        <v>135</v>
      </c>
      <c r="J81" s="13">
        <v>4</v>
      </c>
      <c r="M81" s="10">
        <v>135</v>
      </c>
      <c r="N81" s="16">
        <v>0</v>
      </c>
    </row>
    <row r="82" spans="1:14" x14ac:dyDescent="0.25">
      <c r="A82" s="10" t="s">
        <v>468</v>
      </c>
      <c r="B82" s="19">
        <v>-42797</v>
      </c>
      <c r="F82" s="10">
        <v>137</v>
      </c>
      <c r="G82" s="15">
        <v>1113409</v>
      </c>
      <c r="I82" s="10">
        <v>137</v>
      </c>
      <c r="J82" s="13">
        <v>2</v>
      </c>
      <c r="M82" s="10">
        <v>137</v>
      </c>
      <c r="N82" s="16">
        <v>2.5157232704402517E-2</v>
      </c>
    </row>
    <row r="83" spans="1:14" x14ac:dyDescent="0.25">
      <c r="A83" s="10" t="s">
        <v>469</v>
      </c>
      <c r="B83" s="19">
        <v>80025</v>
      </c>
      <c r="F83" s="10">
        <v>140</v>
      </c>
      <c r="G83" s="15">
        <v>1076673</v>
      </c>
      <c r="I83" s="10">
        <v>140</v>
      </c>
      <c r="J83" s="13">
        <v>8</v>
      </c>
      <c r="M83" s="10">
        <v>140</v>
      </c>
      <c r="N83" s="16">
        <v>3.7037037037037035E-2</v>
      </c>
    </row>
    <row r="84" spans="1:14" x14ac:dyDescent="0.25">
      <c r="A84" s="10" t="s">
        <v>470</v>
      </c>
      <c r="B84" s="19">
        <v>-126163</v>
      </c>
      <c r="F84" s="10">
        <v>142</v>
      </c>
      <c r="G84" s="15">
        <v>3076301</v>
      </c>
      <c r="I84" s="10">
        <v>142</v>
      </c>
      <c r="J84" s="13">
        <v>13</v>
      </c>
      <c r="M84" s="10">
        <v>142</v>
      </c>
      <c r="N84" s="16">
        <v>1.3904871499808208E-2</v>
      </c>
    </row>
    <row r="85" spans="1:14" x14ac:dyDescent="0.25">
      <c r="A85" s="10" t="s">
        <v>471</v>
      </c>
      <c r="B85" s="19">
        <v>-21222</v>
      </c>
      <c r="F85" s="10">
        <v>144</v>
      </c>
      <c r="G85" s="15">
        <v>877602</v>
      </c>
      <c r="I85" s="10">
        <v>144</v>
      </c>
      <c r="J85" s="13">
        <v>5</v>
      </c>
      <c r="M85" s="10">
        <v>144</v>
      </c>
      <c r="N85" s="16">
        <v>2.7397260273972601E-2</v>
      </c>
    </row>
    <row r="86" spans="1:14" x14ac:dyDescent="0.25">
      <c r="A86" s="10" t="s">
        <v>472</v>
      </c>
      <c r="B86" s="19">
        <v>-259029</v>
      </c>
      <c r="F86" s="10">
        <v>148</v>
      </c>
      <c r="G86" s="15">
        <v>1676496</v>
      </c>
      <c r="I86" s="10">
        <v>148</v>
      </c>
      <c r="J86" s="13">
        <v>3</v>
      </c>
      <c r="M86" s="10">
        <v>148</v>
      </c>
      <c r="N86" s="16">
        <v>1.9736842105263157E-2</v>
      </c>
    </row>
    <row r="87" spans="1:14" x14ac:dyDescent="0.25">
      <c r="A87" s="10" t="s">
        <v>473</v>
      </c>
      <c r="B87" s="19">
        <v>-75753</v>
      </c>
      <c r="F87" s="10">
        <v>149</v>
      </c>
      <c r="G87" s="15">
        <v>437753</v>
      </c>
      <c r="I87" s="10">
        <v>149</v>
      </c>
      <c r="J87" s="13">
        <v>6</v>
      </c>
      <c r="M87" s="10">
        <v>149</v>
      </c>
      <c r="N87" s="16">
        <v>3.3707865168539325E-2</v>
      </c>
    </row>
    <row r="88" spans="1:14" x14ac:dyDescent="0.25">
      <c r="A88" s="10" t="s">
        <v>474</v>
      </c>
      <c r="B88" s="19">
        <v>-164077</v>
      </c>
      <c r="F88" s="10">
        <v>150</v>
      </c>
      <c r="G88" s="15">
        <v>156724</v>
      </c>
      <c r="I88" s="10">
        <v>150</v>
      </c>
      <c r="J88" s="13">
        <v>2</v>
      </c>
      <c r="M88" s="10">
        <v>150</v>
      </c>
      <c r="N88" s="16">
        <v>0</v>
      </c>
    </row>
    <row r="89" spans="1:14" x14ac:dyDescent="0.25">
      <c r="A89" s="10" t="s">
        <v>475</v>
      </c>
      <c r="B89" s="19">
        <v>-58822</v>
      </c>
      <c r="F89" s="10">
        <v>152</v>
      </c>
      <c r="G89" s="15">
        <v>504980</v>
      </c>
      <c r="I89" s="10">
        <v>152</v>
      </c>
      <c r="J89" s="13">
        <v>2</v>
      </c>
      <c r="M89" s="10">
        <v>152</v>
      </c>
      <c r="N89" s="16">
        <v>2.8169014084507043E-2</v>
      </c>
    </row>
    <row r="90" spans="1:14" x14ac:dyDescent="0.25">
      <c r="A90" s="10" t="s">
        <v>476</v>
      </c>
      <c r="B90" s="19">
        <v>33287</v>
      </c>
      <c r="F90" s="10">
        <v>153</v>
      </c>
      <c r="G90" s="15">
        <v>736380</v>
      </c>
      <c r="I90" s="10">
        <v>153</v>
      </c>
      <c r="J90" s="13">
        <v>6</v>
      </c>
      <c r="M90" s="10">
        <v>153</v>
      </c>
      <c r="N90" s="16">
        <v>0</v>
      </c>
    </row>
    <row r="91" spans="1:14" x14ac:dyDescent="0.25">
      <c r="A91" s="10" t="s">
        <v>477</v>
      </c>
      <c r="B91" s="19">
        <v>48640</v>
      </c>
      <c r="F91" s="10">
        <v>159</v>
      </c>
      <c r="G91" s="15">
        <v>887970</v>
      </c>
      <c r="I91" s="10">
        <v>159</v>
      </c>
      <c r="J91" s="13">
        <v>2</v>
      </c>
      <c r="M91" s="10">
        <v>159</v>
      </c>
      <c r="N91" s="16">
        <v>7.1428571428571426E-3</v>
      </c>
    </row>
    <row r="92" spans="1:14" x14ac:dyDescent="0.25">
      <c r="A92" s="10" t="s">
        <v>388</v>
      </c>
      <c r="B92" s="19">
        <v>28519</v>
      </c>
      <c r="F92" s="10">
        <v>162</v>
      </c>
      <c r="G92" s="15">
        <v>1561572</v>
      </c>
      <c r="I92" s="10">
        <v>162</v>
      </c>
      <c r="J92" s="13">
        <v>13</v>
      </c>
      <c r="M92" s="10">
        <v>162</v>
      </c>
      <c r="N92" s="16">
        <v>1.4705882352941176E-2</v>
      </c>
    </row>
    <row r="93" spans="1:14" x14ac:dyDescent="0.25">
      <c r="A93" s="10" t="s">
        <v>478</v>
      </c>
      <c r="B93" s="19">
        <v>-81148</v>
      </c>
      <c r="F93" s="10">
        <v>163</v>
      </c>
      <c r="G93" s="15">
        <v>1334027</v>
      </c>
      <c r="I93" s="10">
        <v>163</v>
      </c>
      <c r="J93" s="13">
        <v>13</v>
      </c>
      <c r="M93" s="10">
        <v>163</v>
      </c>
      <c r="N93" s="16">
        <v>1.2500000000000001E-2</v>
      </c>
    </row>
    <row r="94" spans="1:14" x14ac:dyDescent="0.25">
      <c r="A94" s="10" t="s">
        <v>479</v>
      </c>
      <c r="B94" s="19">
        <v>-4801</v>
      </c>
      <c r="F94" s="10">
        <v>168</v>
      </c>
      <c r="G94" s="15">
        <v>905454</v>
      </c>
      <c r="I94" s="10">
        <v>168</v>
      </c>
      <c r="J94" s="13">
        <v>6</v>
      </c>
      <c r="M94" s="10">
        <v>168</v>
      </c>
      <c r="N94" s="16">
        <v>4.5161290322580643E-2</v>
      </c>
    </row>
    <row r="95" spans="1:14" x14ac:dyDescent="0.25">
      <c r="A95" s="10" t="s">
        <v>480</v>
      </c>
      <c r="B95" s="19">
        <v>-52962</v>
      </c>
      <c r="F95" s="10">
        <v>169</v>
      </c>
      <c r="G95" s="15">
        <v>1488355</v>
      </c>
      <c r="I95" s="10">
        <v>169</v>
      </c>
      <c r="J95" s="13">
        <v>9</v>
      </c>
      <c r="M95" s="10">
        <v>169</v>
      </c>
      <c r="N95" s="16">
        <v>8.4745762711864406E-3</v>
      </c>
    </row>
    <row r="96" spans="1:14" x14ac:dyDescent="0.25">
      <c r="A96" s="10" t="s">
        <v>481</v>
      </c>
      <c r="B96" s="19">
        <v>-201802</v>
      </c>
      <c r="F96" s="10">
        <v>170</v>
      </c>
      <c r="G96" s="15">
        <v>2586011</v>
      </c>
      <c r="I96" s="10">
        <v>170</v>
      </c>
      <c r="J96" s="13">
        <v>10</v>
      </c>
      <c r="M96" s="10">
        <v>170</v>
      </c>
      <c r="N96" s="16">
        <v>4.6296296296296294E-3</v>
      </c>
    </row>
    <row r="97" spans="1:14" x14ac:dyDescent="0.25">
      <c r="A97" s="10" t="s">
        <v>482</v>
      </c>
      <c r="B97" s="19">
        <v>-189004</v>
      </c>
      <c r="F97" s="10">
        <v>171</v>
      </c>
      <c r="G97" s="15">
        <v>1299953</v>
      </c>
      <c r="I97" s="10">
        <v>171</v>
      </c>
      <c r="J97" s="13">
        <v>7</v>
      </c>
      <c r="M97" s="10">
        <v>171</v>
      </c>
      <c r="N97" s="16">
        <v>0.03</v>
      </c>
    </row>
    <row r="98" spans="1:14" x14ac:dyDescent="0.25">
      <c r="A98" s="10" t="s">
        <v>389</v>
      </c>
      <c r="B98" s="19">
        <v>130768</v>
      </c>
      <c r="F98" s="10">
        <v>172</v>
      </c>
      <c r="G98" s="15">
        <v>1178917</v>
      </c>
      <c r="I98" s="10">
        <v>172</v>
      </c>
      <c r="J98" s="13">
        <v>2</v>
      </c>
      <c r="M98" s="10">
        <v>172</v>
      </c>
      <c r="N98" s="16">
        <v>1.9867549668874173E-2</v>
      </c>
    </row>
    <row r="99" spans="1:14" x14ac:dyDescent="0.25">
      <c r="A99" s="10" t="s">
        <v>483</v>
      </c>
      <c r="B99" s="19">
        <v>-114687</v>
      </c>
      <c r="F99" s="10">
        <v>177</v>
      </c>
      <c r="G99" s="15">
        <v>862824</v>
      </c>
      <c r="I99" s="10">
        <v>177</v>
      </c>
      <c r="J99" s="13">
        <v>4</v>
      </c>
      <c r="M99" s="10">
        <v>177</v>
      </c>
      <c r="N99" s="16">
        <v>0</v>
      </c>
    </row>
    <row r="100" spans="1:14" x14ac:dyDescent="0.25">
      <c r="A100" s="10" t="s">
        <v>390</v>
      </c>
      <c r="B100" s="19">
        <v>124119</v>
      </c>
      <c r="F100" s="10">
        <v>183</v>
      </c>
      <c r="G100" s="15">
        <v>772785</v>
      </c>
      <c r="I100" s="10">
        <v>183</v>
      </c>
      <c r="J100" s="13">
        <v>2</v>
      </c>
      <c r="M100" s="10">
        <v>183</v>
      </c>
      <c r="N100" s="16">
        <v>5.8139534883720929E-2</v>
      </c>
    </row>
    <row r="101" spans="1:14" x14ac:dyDescent="0.25">
      <c r="A101" s="10" t="s">
        <v>484</v>
      </c>
      <c r="B101" s="19">
        <v>-71803</v>
      </c>
      <c r="F101" s="10">
        <v>185</v>
      </c>
      <c r="G101" s="15">
        <v>2847181</v>
      </c>
      <c r="I101" s="10">
        <v>185</v>
      </c>
      <c r="J101" s="13">
        <v>13</v>
      </c>
      <c r="M101" s="10">
        <v>185</v>
      </c>
      <c r="N101" s="16">
        <v>1.3333333333333334E-2</v>
      </c>
    </row>
    <row r="102" spans="1:14" x14ac:dyDescent="0.25">
      <c r="A102" s="10" t="s">
        <v>391</v>
      </c>
      <c r="B102" s="19">
        <v>-189686</v>
      </c>
      <c r="F102" s="10">
        <v>192</v>
      </c>
      <c r="G102" s="15">
        <v>1013064</v>
      </c>
      <c r="I102" s="10">
        <v>192</v>
      </c>
      <c r="J102" s="13">
        <v>5</v>
      </c>
      <c r="M102" s="10">
        <v>192</v>
      </c>
      <c r="N102" s="16">
        <v>2.1739130434782608E-2</v>
      </c>
    </row>
    <row r="103" spans="1:14" x14ac:dyDescent="0.25">
      <c r="A103" s="10" t="s">
        <v>485</v>
      </c>
      <c r="B103" s="19">
        <v>-183529</v>
      </c>
      <c r="F103" s="10">
        <v>199</v>
      </c>
      <c r="G103" s="15">
        <v>2365615</v>
      </c>
      <c r="I103" s="10">
        <v>199</v>
      </c>
      <c r="J103" s="13">
        <v>17</v>
      </c>
      <c r="M103" s="10">
        <v>199</v>
      </c>
      <c r="N103" s="16">
        <v>7.5783573552962707E-3</v>
      </c>
    </row>
    <row r="104" spans="1:14" x14ac:dyDescent="0.25">
      <c r="A104" s="10" t="s">
        <v>392</v>
      </c>
      <c r="B104" s="19">
        <v>182414</v>
      </c>
      <c r="F104" s="10">
        <v>202</v>
      </c>
      <c r="G104" s="15">
        <v>397034</v>
      </c>
      <c r="I104" s="10">
        <v>202</v>
      </c>
      <c r="J104" s="13">
        <v>2</v>
      </c>
      <c r="M104" s="10">
        <v>202</v>
      </c>
      <c r="N104" s="16">
        <v>1.5625E-2</v>
      </c>
    </row>
    <row r="105" spans="1:14" x14ac:dyDescent="0.25">
      <c r="A105" s="10" t="s">
        <v>486</v>
      </c>
      <c r="B105" s="19">
        <v>-62270</v>
      </c>
      <c r="F105" s="10">
        <v>207</v>
      </c>
      <c r="G105" s="15">
        <v>1122812</v>
      </c>
      <c r="I105" s="10">
        <v>207</v>
      </c>
      <c r="J105" s="13">
        <v>6</v>
      </c>
      <c r="M105" s="10">
        <v>207</v>
      </c>
      <c r="N105" s="16">
        <v>1.020408163265306E-2</v>
      </c>
    </row>
    <row r="106" spans="1:14" x14ac:dyDescent="0.25">
      <c r="A106" s="10" t="s">
        <v>487</v>
      </c>
      <c r="B106" s="19">
        <v>-145342</v>
      </c>
      <c r="F106" s="10">
        <v>210</v>
      </c>
      <c r="G106" s="15">
        <v>1718899</v>
      </c>
      <c r="I106" s="10">
        <v>210</v>
      </c>
      <c r="J106" s="13">
        <v>7</v>
      </c>
      <c r="M106" s="10">
        <v>210</v>
      </c>
      <c r="N106" s="16">
        <v>4.2016806722689079E-2</v>
      </c>
    </row>
    <row r="107" spans="1:14" x14ac:dyDescent="0.25">
      <c r="A107" s="10" t="s">
        <v>488</v>
      </c>
      <c r="B107" s="19">
        <v>-117321</v>
      </c>
      <c r="F107" s="10">
        <v>217</v>
      </c>
      <c r="G107" s="15">
        <v>1465399</v>
      </c>
      <c r="I107" s="10">
        <v>217</v>
      </c>
      <c r="J107" s="13">
        <v>7</v>
      </c>
      <c r="M107" s="10">
        <v>217</v>
      </c>
      <c r="N107" s="16">
        <v>0</v>
      </c>
    </row>
    <row r="108" spans="1:14" x14ac:dyDescent="0.25">
      <c r="A108" s="10" t="s">
        <v>489</v>
      </c>
      <c r="B108" s="19">
        <v>-173958</v>
      </c>
      <c r="F108" s="10">
        <v>220</v>
      </c>
      <c r="G108" s="15">
        <v>2771644</v>
      </c>
      <c r="I108" s="10">
        <v>220</v>
      </c>
      <c r="J108" s="13">
        <v>16</v>
      </c>
      <c r="M108" s="10">
        <v>220</v>
      </c>
      <c r="N108" s="16">
        <v>1.3847910916531836E-2</v>
      </c>
    </row>
    <row r="109" spans="1:14" x14ac:dyDescent="0.25">
      <c r="A109" s="10" t="s">
        <v>393</v>
      </c>
      <c r="B109" s="19">
        <v>-24756</v>
      </c>
      <c r="F109" s="10">
        <v>222</v>
      </c>
      <c r="G109" s="15">
        <v>489347</v>
      </c>
      <c r="I109" s="10">
        <v>222</v>
      </c>
      <c r="J109" s="13">
        <v>9</v>
      </c>
      <c r="M109" s="10">
        <v>222</v>
      </c>
      <c r="N109" s="16">
        <v>0</v>
      </c>
    </row>
    <row r="110" spans="1:14" x14ac:dyDescent="0.25">
      <c r="A110" s="10" t="s">
        <v>394</v>
      </c>
      <c r="B110" s="19">
        <v>37110</v>
      </c>
      <c r="F110" s="10">
        <v>231</v>
      </c>
      <c r="G110" s="15">
        <v>1476695</v>
      </c>
      <c r="I110" s="10">
        <v>231</v>
      </c>
      <c r="J110" s="13">
        <v>8</v>
      </c>
      <c r="M110" s="10">
        <v>231</v>
      </c>
      <c r="N110" s="16">
        <v>1.3986013986013986E-2</v>
      </c>
    </row>
    <row r="111" spans="1:14" x14ac:dyDescent="0.25">
      <c r="A111" s="10" t="s">
        <v>490</v>
      </c>
      <c r="B111" s="19">
        <v>-28436</v>
      </c>
      <c r="F111" s="10">
        <v>232</v>
      </c>
      <c r="G111" s="15">
        <v>560775</v>
      </c>
      <c r="I111" s="10">
        <v>232</v>
      </c>
      <c r="J111" s="13">
        <v>6</v>
      </c>
      <c r="M111" s="10">
        <v>232</v>
      </c>
      <c r="N111" s="16">
        <v>1.6949152542372881E-2</v>
      </c>
    </row>
    <row r="112" spans="1:14" x14ac:dyDescent="0.25">
      <c r="A112" s="10" t="s">
        <v>491</v>
      </c>
      <c r="B112" s="19">
        <v>5980</v>
      </c>
      <c r="F112" s="10">
        <v>234</v>
      </c>
      <c r="G112" s="15">
        <v>280762</v>
      </c>
      <c r="I112" s="10">
        <v>234</v>
      </c>
      <c r="J112" s="13">
        <v>5</v>
      </c>
      <c r="M112" s="10">
        <v>234</v>
      </c>
      <c r="N112" s="16">
        <v>0</v>
      </c>
    </row>
    <row r="113" spans="1:14" x14ac:dyDescent="0.25">
      <c r="A113" s="10" t="s">
        <v>395</v>
      </c>
      <c r="B113" s="19">
        <v>-22902</v>
      </c>
      <c r="F113" s="10">
        <v>235</v>
      </c>
      <c r="G113" s="15">
        <v>1513065</v>
      </c>
      <c r="I113" s="10">
        <v>235</v>
      </c>
      <c r="J113" s="13">
        <v>14</v>
      </c>
      <c r="M113" s="10">
        <v>235</v>
      </c>
      <c r="N113" s="16">
        <v>3.4013605442176874E-2</v>
      </c>
    </row>
    <row r="114" spans="1:14" x14ac:dyDescent="0.25">
      <c r="A114" s="10" t="s">
        <v>396</v>
      </c>
      <c r="B114" s="19">
        <v>-70338</v>
      </c>
      <c r="F114" s="10">
        <v>240</v>
      </c>
      <c r="G114" s="15">
        <v>1436379</v>
      </c>
      <c r="I114" s="10">
        <v>240</v>
      </c>
      <c r="J114" s="13">
        <v>5</v>
      </c>
      <c r="M114" s="10">
        <v>240</v>
      </c>
      <c r="N114" s="16">
        <v>8.8495575221238937E-3</v>
      </c>
    </row>
    <row r="115" spans="1:14" x14ac:dyDescent="0.25">
      <c r="A115" s="10" t="s">
        <v>492</v>
      </c>
      <c r="B115" s="19">
        <v>-3374</v>
      </c>
      <c r="F115" s="10">
        <v>241</v>
      </c>
      <c r="G115" s="15">
        <v>2696413</v>
      </c>
      <c r="I115" s="10">
        <v>241</v>
      </c>
      <c r="J115" s="13">
        <v>14</v>
      </c>
      <c r="M115" s="10">
        <v>241</v>
      </c>
      <c r="N115" s="16">
        <v>2.2630992196209589E-2</v>
      </c>
    </row>
    <row r="116" spans="1:14" x14ac:dyDescent="0.25">
      <c r="A116" s="10" t="s">
        <v>493</v>
      </c>
      <c r="B116" s="19">
        <v>90963</v>
      </c>
      <c r="F116" s="10">
        <v>242</v>
      </c>
      <c r="G116" s="15">
        <v>1928704</v>
      </c>
      <c r="I116" s="10">
        <v>242</v>
      </c>
      <c r="J116" s="13">
        <v>19</v>
      </c>
      <c r="M116" s="10">
        <v>242</v>
      </c>
      <c r="N116" s="16">
        <v>1.0135135135135136E-2</v>
      </c>
    </row>
    <row r="117" spans="1:14" x14ac:dyDescent="0.25">
      <c r="A117" s="10" t="s">
        <v>494</v>
      </c>
      <c r="B117" s="19">
        <v>-53110</v>
      </c>
      <c r="F117" s="10">
        <v>246</v>
      </c>
      <c r="G117" s="15">
        <v>457150</v>
      </c>
      <c r="I117" s="10">
        <v>246</v>
      </c>
      <c r="J117" s="13">
        <v>5</v>
      </c>
      <c r="M117" s="10">
        <v>246</v>
      </c>
      <c r="N117" s="16">
        <v>0</v>
      </c>
    </row>
    <row r="118" spans="1:14" x14ac:dyDescent="0.25">
      <c r="A118" s="10" t="s">
        <v>495</v>
      </c>
      <c r="B118" s="19">
        <v>-91094</v>
      </c>
      <c r="F118" s="10">
        <v>247</v>
      </c>
      <c r="G118" s="15">
        <v>1558947</v>
      </c>
      <c r="I118" s="10">
        <v>247</v>
      </c>
      <c r="J118" s="13">
        <v>6</v>
      </c>
      <c r="M118" s="10">
        <v>247</v>
      </c>
      <c r="N118" s="16">
        <v>2.8037383177570093E-2</v>
      </c>
    </row>
    <row r="119" spans="1:14" x14ac:dyDescent="0.25">
      <c r="A119" s="10" t="s">
        <v>496</v>
      </c>
      <c r="B119" s="19">
        <v>65679</v>
      </c>
      <c r="F119" s="10">
        <v>257</v>
      </c>
      <c r="G119" s="15">
        <v>271738</v>
      </c>
      <c r="I119" s="10">
        <v>257</v>
      </c>
      <c r="J119" s="13">
        <v>7</v>
      </c>
      <c r="M119" s="10">
        <v>257</v>
      </c>
      <c r="N119" s="16">
        <v>6.25E-2</v>
      </c>
    </row>
    <row r="120" spans="1:14" x14ac:dyDescent="0.25">
      <c r="A120" s="10" t="s">
        <v>497</v>
      </c>
      <c r="B120" s="19">
        <v>66003</v>
      </c>
      <c r="F120" s="10">
        <v>258</v>
      </c>
      <c r="G120" s="15">
        <v>762864</v>
      </c>
      <c r="I120" s="10">
        <v>258</v>
      </c>
      <c r="J120" s="13">
        <v>4</v>
      </c>
      <c r="M120" s="10">
        <v>258</v>
      </c>
      <c r="N120" s="16">
        <v>1.1111111111111112E-2</v>
      </c>
    </row>
    <row r="121" spans="1:14" x14ac:dyDescent="0.25">
      <c r="A121" s="10" t="s">
        <v>498</v>
      </c>
      <c r="B121" s="19">
        <v>-19833</v>
      </c>
      <c r="F121" s="10">
        <v>260</v>
      </c>
      <c r="G121" s="15">
        <v>231895</v>
      </c>
      <c r="I121" s="10">
        <v>260</v>
      </c>
      <c r="J121" s="13">
        <v>6</v>
      </c>
      <c r="M121" s="10">
        <v>260</v>
      </c>
      <c r="N121" s="16">
        <v>4.7619047619047616E-2</v>
      </c>
    </row>
    <row r="122" spans="1:14" x14ac:dyDescent="0.25">
      <c r="A122" s="10" t="s">
        <v>499</v>
      </c>
      <c r="B122" s="19">
        <v>-37902</v>
      </c>
      <c r="F122" s="10">
        <v>262</v>
      </c>
      <c r="G122" s="15">
        <v>1523339</v>
      </c>
      <c r="I122" s="10">
        <v>262</v>
      </c>
      <c r="J122" s="13">
        <v>4</v>
      </c>
      <c r="M122" s="10">
        <v>262</v>
      </c>
      <c r="N122" s="16">
        <v>1.3605442176870748E-2</v>
      </c>
    </row>
    <row r="123" spans="1:14" x14ac:dyDescent="0.25">
      <c r="A123" s="10" t="s">
        <v>500</v>
      </c>
      <c r="B123" s="19">
        <v>3470</v>
      </c>
      <c r="F123" s="10">
        <v>267</v>
      </c>
      <c r="G123" s="15">
        <v>1113249</v>
      </c>
      <c r="I123" s="10">
        <v>267</v>
      </c>
      <c r="J123" s="13">
        <v>8</v>
      </c>
      <c r="M123" s="10">
        <v>267</v>
      </c>
      <c r="N123" s="16">
        <v>2.4793388429752067E-2</v>
      </c>
    </row>
    <row r="124" spans="1:14" x14ac:dyDescent="0.25">
      <c r="A124" s="10" t="s">
        <v>501</v>
      </c>
      <c r="B124" s="19">
        <v>-91149</v>
      </c>
      <c r="F124" s="10">
        <v>269</v>
      </c>
      <c r="G124" s="15">
        <v>1797049</v>
      </c>
      <c r="I124" s="10">
        <v>269</v>
      </c>
      <c r="J124" s="13">
        <v>4</v>
      </c>
      <c r="M124" s="10">
        <v>269</v>
      </c>
      <c r="N124" s="16">
        <v>1.020408163265306E-2</v>
      </c>
    </row>
    <row r="125" spans="1:14" x14ac:dyDescent="0.25">
      <c r="A125" s="10" t="s">
        <v>397</v>
      </c>
      <c r="B125" s="19">
        <v>-20865</v>
      </c>
      <c r="F125" s="10">
        <v>277</v>
      </c>
      <c r="G125" s="15">
        <v>863946</v>
      </c>
      <c r="I125" s="10">
        <v>277</v>
      </c>
      <c r="J125" s="13">
        <v>12</v>
      </c>
      <c r="M125" s="10">
        <v>277</v>
      </c>
      <c r="N125" s="16">
        <v>1.7241379310344827E-2</v>
      </c>
    </row>
    <row r="126" spans="1:14" x14ac:dyDescent="0.25">
      <c r="A126" s="10" t="s">
        <v>502</v>
      </c>
      <c r="B126" s="19">
        <v>-21645</v>
      </c>
      <c r="F126" s="10">
        <v>278</v>
      </c>
      <c r="G126" s="15">
        <v>538313</v>
      </c>
      <c r="I126" s="10">
        <v>278</v>
      </c>
      <c r="J126" s="13">
        <v>6</v>
      </c>
      <c r="M126" s="10">
        <v>278</v>
      </c>
      <c r="N126" s="16">
        <v>0</v>
      </c>
    </row>
    <row r="127" spans="1:14" x14ac:dyDescent="0.25">
      <c r="A127" s="10" t="s">
        <v>503</v>
      </c>
      <c r="B127" s="19">
        <v>24949</v>
      </c>
      <c r="F127" s="10">
        <v>280</v>
      </c>
      <c r="G127" s="15">
        <v>994120</v>
      </c>
      <c r="I127" s="10">
        <v>280</v>
      </c>
      <c r="J127" s="13">
        <v>6</v>
      </c>
      <c r="M127" s="10">
        <v>280</v>
      </c>
      <c r="N127" s="16">
        <v>2.1739130434782608E-2</v>
      </c>
    </row>
    <row r="128" spans="1:14" x14ac:dyDescent="0.25">
      <c r="A128" s="10" t="s">
        <v>504</v>
      </c>
      <c r="B128" s="19">
        <v>-110534</v>
      </c>
      <c r="F128" s="10">
        <v>283</v>
      </c>
      <c r="G128" s="15">
        <v>1045736</v>
      </c>
      <c r="I128" s="10">
        <v>283</v>
      </c>
      <c r="J128" s="13">
        <v>4</v>
      </c>
      <c r="M128" s="10">
        <v>283</v>
      </c>
      <c r="N128" s="16">
        <v>2.4590163934426229E-2</v>
      </c>
    </row>
    <row r="129" spans="1:14" x14ac:dyDescent="0.25">
      <c r="A129" s="10" t="s">
        <v>505</v>
      </c>
      <c r="B129" s="19">
        <v>73104</v>
      </c>
      <c r="F129" s="10">
        <v>285</v>
      </c>
      <c r="G129" s="15">
        <v>867941</v>
      </c>
      <c r="I129" s="10">
        <v>285</v>
      </c>
      <c r="J129" s="13">
        <v>4</v>
      </c>
      <c r="M129" s="10">
        <v>285</v>
      </c>
      <c r="N129" s="16">
        <v>2.0833333333333332E-2</v>
      </c>
    </row>
    <row r="130" spans="1:14" x14ac:dyDescent="0.25">
      <c r="A130" s="10" t="s">
        <v>506</v>
      </c>
      <c r="B130" s="19">
        <v>-64733</v>
      </c>
      <c r="F130" s="10">
        <v>287</v>
      </c>
      <c r="G130" s="15">
        <v>1863755</v>
      </c>
      <c r="I130" s="10">
        <v>287</v>
      </c>
      <c r="J130" s="13">
        <v>3</v>
      </c>
      <c r="M130" s="10">
        <v>287</v>
      </c>
      <c r="N130" s="16">
        <v>8.4033613445378148E-3</v>
      </c>
    </row>
    <row r="131" spans="1:14" x14ac:dyDescent="0.25">
      <c r="A131" s="10" t="s">
        <v>507</v>
      </c>
      <c r="B131" s="19">
        <v>-158077</v>
      </c>
      <c r="F131" s="10">
        <v>294</v>
      </c>
      <c r="G131" s="15">
        <v>597402</v>
      </c>
      <c r="I131" s="10">
        <v>294</v>
      </c>
      <c r="J131" s="13">
        <v>1</v>
      </c>
      <c r="M131" s="10">
        <v>294</v>
      </c>
      <c r="N131" s="16">
        <v>1.8518518518518517E-2</v>
      </c>
    </row>
    <row r="132" spans="1:14" x14ac:dyDescent="0.25">
      <c r="A132" s="10" t="s">
        <v>398</v>
      </c>
      <c r="B132" s="19">
        <v>-95879</v>
      </c>
      <c r="F132" s="10">
        <v>302</v>
      </c>
      <c r="G132" s="15">
        <v>625221</v>
      </c>
      <c r="I132" s="10">
        <v>302</v>
      </c>
      <c r="J132" s="13">
        <v>3</v>
      </c>
      <c r="M132" s="10">
        <v>302</v>
      </c>
      <c r="N132" s="16">
        <v>4.878048780487805E-2</v>
      </c>
    </row>
    <row r="133" spans="1:14" x14ac:dyDescent="0.25">
      <c r="A133" s="10" t="s">
        <v>508</v>
      </c>
      <c r="B133" s="19">
        <v>7202</v>
      </c>
      <c r="F133" s="10">
        <v>303</v>
      </c>
      <c r="G133" s="15">
        <v>1163970</v>
      </c>
      <c r="I133" s="10">
        <v>303</v>
      </c>
      <c r="J133" s="13">
        <v>5</v>
      </c>
      <c r="M133" s="10">
        <v>303</v>
      </c>
      <c r="N133" s="16">
        <v>2.5316455696202531E-2</v>
      </c>
    </row>
    <row r="134" spans="1:14" x14ac:dyDescent="0.25">
      <c r="A134" s="10" t="s">
        <v>509</v>
      </c>
      <c r="B134" s="19">
        <v>81881</v>
      </c>
      <c r="F134" s="10">
        <v>317</v>
      </c>
      <c r="G134" s="15">
        <v>1273243</v>
      </c>
      <c r="I134" s="10">
        <v>317</v>
      </c>
      <c r="J134" s="13">
        <v>9</v>
      </c>
      <c r="M134" s="10">
        <v>317</v>
      </c>
      <c r="N134" s="16">
        <v>4.065040650406504E-2</v>
      </c>
    </row>
    <row r="135" spans="1:14" x14ac:dyDescent="0.25">
      <c r="A135" s="10" t="s">
        <v>510</v>
      </c>
      <c r="B135" s="19">
        <v>-7785</v>
      </c>
      <c r="F135" s="10">
        <v>318</v>
      </c>
      <c r="G135" s="15">
        <v>1175220</v>
      </c>
      <c r="I135" s="10">
        <v>318</v>
      </c>
      <c r="J135" s="13">
        <v>6</v>
      </c>
      <c r="M135" s="10">
        <v>318</v>
      </c>
      <c r="N135" s="16">
        <v>4.3478260869565216E-2</v>
      </c>
    </row>
    <row r="136" spans="1:14" x14ac:dyDescent="0.25">
      <c r="A136" s="10" t="s">
        <v>511</v>
      </c>
      <c r="B136" s="19">
        <v>41020</v>
      </c>
      <c r="F136" s="10">
        <v>319</v>
      </c>
      <c r="G136" s="15">
        <v>608124</v>
      </c>
      <c r="I136" s="10">
        <v>319</v>
      </c>
      <c r="J136" s="13">
        <v>6</v>
      </c>
      <c r="M136" s="10">
        <v>319</v>
      </c>
      <c r="N136" s="16">
        <v>2.2727272727272728E-2</v>
      </c>
    </row>
    <row r="137" spans="1:14" x14ac:dyDescent="0.25">
      <c r="A137" s="10" t="s">
        <v>512</v>
      </c>
      <c r="B137" s="19">
        <v>-13054</v>
      </c>
      <c r="F137" s="10">
        <v>326</v>
      </c>
      <c r="G137" s="15">
        <v>1629025</v>
      </c>
      <c r="I137" s="10">
        <v>326</v>
      </c>
      <c r="J137" s="13">
        <v>2</v>
      </c>
      <c r="M137" s="10">
        <v>326</v>
      </c>
      <c r="N137" s="16">
        <v>2.4793388429752067E-2</v>
      </c>
    </row>
    <row r="138" spans="1:14" x14ac:dyDescent="0.25">
      <c r="A138" s="10" t="s">
        <v>513</v>
      </c>
      <c r="B138" s="19">
        <v>-94576</v>
      </c>
      <c r="F138" s="10">
        <v>329</v>
      </c>
      <c r="G138" s="15">
        <v>1401581</v>
      </c>
      <c r="I138" s="10">
        <v>329</v>
      </c>
      <c r="J138" s="13">
        <v>4</v>
      </c>
      <c r="M138" s="10">
        <v>329</v>
      </c>
      <c r="N138" s="16">
        <v>1.1111111111111112E-2</v>
      </c>
    </row>
    <row r="139" spans="1:14" x14ac:dyDescent="0.25">
      <c r="A139" s="10" t="s">
        <v>399</v>
      </c>
      <c r="B139" s="19">
        <v>-100124</v>
      </c>
      <c r="F139" s="10">
        <v>330</v>
      </c>
      <c r="G139" s="15">
        <v>1438471</v>
      </c>
      <c r="I139" s="10">
        <v>330</v>
      </c>
      <c r="J139" s="13">
        <v>11</v>
      </c>
      <c r="M139" s="10">
        <v>330</v>
      </c>
      <c r="N139" s="16">
        <v>1.73992673992674E-2</v>
      </c>
    </row>
    <row r="140" spans="1:14" x14ac:dyDescent="0.25">
      <c r="A140" s="10" t="s">
        <v>514</v>
      </c>
      <c r="B140" s="19">
        <v>-105209</v>
      </c>
      <c r="F140" s="10">
        <v>338</v>
      </c>
      <c r="G140" s="15">
        <v>537384</v>
      </c>
      <c r="I140" s="10">
        <v>338</v>
      </c>
      <c r="J140" s="13">
        <v>3</v>
      </c>
      <c r="M140" s="10">
        <v>338</v>
      </c>
      <c r="N140" s="16">
        <v>0</v>
      </c>
    </row>
    <row r="141" spans="1:14" x14ac:dyDescent="0.25">
      <c r="A141" s="10" t="s">
        <v>515</v>
      </c>
      <c r="B141" s="19">
        <v>-146111</v>
      </c>
      <c r="F141" s="10">
        <v>346</v>
      </c>
      <c r="G141" s="15">
        <v>1339194</v>
      </c>
      <c r="I141" s="10">
        <v>346</v>
      </c>
      <c r="J141" s="13">
        <v>17</v>
      </c>
      <c r="M141" s="10">
        <v>346</v>
      </c>
      <c r="N141" s="16">
        <v>4.6296296296296294E-3</v>
      </c>
    </row>
    <row r="142" spans="1:14" x14ac:dyDescent="0.25">
      <c r="A142" s="10" t="s">
        <v>516</v>
      </c>
      <c r="B142" s="19">
        <v>-32926</v>
      </c>
      <c r="F142" s="10">
        <v>348</v>
      </c>
      <c r="G142" s="15">
        <v>1037100</v>
      </c>
      <c r="I142" s="10">
        <v>348</v>
      </c>
      <c r="J142" s="13">
        <v>6</v>
      </c>
      <c r="M142" s="10">
        <v>348</v>
      </c>
      <c r="N142" s="16">
        <v>9.6153846153846159E-3</v>
      </c>
    </row>
    <row r="143" spans="1:14" x14ac:dyDescent="0.25">
      <c r="A143" s="10" t="s">
        <v>517</v>
      </c>
      <c r="B143" s="19">
        <v>-10373</v>
      </c>
      <c r="F143" s="10">
        <v>349</v>
      </c>
      <c r="G143" s="15">
        <v>2317217</v>
      </c>
      <c r="I143" s="10">
        <v>349</v>
      </c>
      <c r="J143" s="13">
        <v>6</v>
      </c>
      <c r="M143" s="10">
        <v>349</v>
      </c>
      <c r="N143" s="16">
        <v>0</v>
      </c>
    </row>
    <row r="144" spans="1:14" x14ac:dyDescent="0.25">
      <c r="A144" s="10" t="s">
        <v>518</v>
      </c>
      <c r="B144" s="19">
        <v>-44863</v>
      </c>
      <c r="F144" s="10">
        <v>354</v>
      </c>
      <c r="G144" s="15">
        <v>257866</v>
      </c>
      <c r="I144" s="10">
        <v>354</v>
      </c>
      <c r="J144" s="13">
        <v>2</v>
      </c>
      <c r="M144" s="10">
        <v>354</v>
      </c>
      <c r="N144" s="16">
        <v>0</v>
      </c>
    </row>
    <row r="145" spans="1:14" x14ac:dyDescent="0.25">
      <c r="A145" s="10" t="s">
        <v>400</v>
      </c>
      <c r="B145" s="19">
        <v>101469</v>
      </c>
      <c r="F145" s="10">
        <v>356</v>
      </c>
      <c r="G145" s="15">
        <v>336384</v>
      </c>
      <c r="I145" s="10">
        <v>356</v>
      </c>
      <c r="J145" s="13">
        <v>2</v>
      </c>
      <c r="M145" s="10">
        <v>356</v>
      </c>
      <c r="N145" s="16">
        <v>4.3478260869565216E-2</v>
      </c>
    </row>
    <row r="146" spans="1:14" x14ac:dyDescent="0.25">
      <c r="A146" s="10" t="s">
        <v>519</v>
      </c>
      <c r="B146" s="19">
        <v>37702</v>
      </c>
      <c r="F146" s="10">
        <v>359</v>
      </c>
      <c r="G146" s="15">
        <v>460842</v>
      </c>
      <c r="I146" s="10">
        <v>359</v>
      </c>
      <c r="J146" s="13">
        <v>1</v>
      </c>
      <c r="M146" s="10">
        <v>359</v>
      </c>
      <c r="N146" s="16">
        <v>4.0816326530612242E-2</v>
      </c>
    </row>
    <row r="147" spans="1:14" x14ac:dyDescent="0.25">
      <c r="A147" s="10" t="s">
        <v>520</v>
      </c>
      <c r="B147" s="19">
        <v>-136800</v>
      </c>
      <c r="F147" s="10">
        <v>364</v>
      </c>
      <c r="G147" s="15">
        <v>1216116</v>
      </c>
      <c r="I147" s="10">
        <v>364</v>
      </c>
      <c r="J147" s="13">
        <v>5</v>
      </c>
      <c r="M147" s="10">
        <v>364</v>
      </c>
      <c r="N147" s="16">
        <v>8.130081300813009E-3</v>
      </c>
    </row>
    <row r="148" spans="1:14" x14ac:dyDescent="0.25">
      <c r="A148" s="10" t="s">
        <v>401</v>
      </c>
      <c r="B148" s="19">
        <v>119264</v>
      </c>
      <c r="F148" s="10">
        <v>366</v>
      </c>
      <c r="G148" s="15">
        <v>1304912</v>
      </c>
      <c r="I148" s="10">
        <v>366</v>
      </c>
      <c r="J148" s="13">
        <v>7</v>
      </c>
      <c r="M148" s="10">
        <v>366</v>
      </c>
      <c r="N148" s="16">
        <v>0</v>
      </c>
    </row>
    <row r="149" spans="1:14" x14ac:dyDescent="0.25">
      <c r="A149" s="10" t="s">
        <v>521</v>
      </c>
      <c r="B149" s="19">
        <v>-53431</v>
      </c>
      <c r="F149" s="10">
        <v>373</v>
      </c>
      <c r="G149" s="15">
        <v>564647</v>
      </c>
      <c r="I149" s="10">
        <v>373</v>
      </c>
      <c r="J149" s="13">
        <v>7</v>
      </c>
      <c r="M149" s="10">
        <v>373</v>
      </c>
      <c r="N149" s="16">
        <v>1.5151515151515152E-2</v>
      </c>
    </row>
    <row r="150" spans="1:14" x14ac:dyDescent="0.25">
      <c r="A150" s="10" t="s">
        <v>522</v>
      </c>
      <c r="B150" s="19">
        <v>-186662</v>
      </c>
      <c r="F150" s="10">
        <v>374</v>
      </c>
      <c r="G150" s="15">
        <v>274916</v>
      </c>
      <c r="I150" s="10">
        <v>374</v>
      </c>
      <c r="J150" s="13">
        <v>3</v>
      </c>
      <c r="M150" s="10">
        <v>374</v>
      </c>
      <c r="N150" s="16">
        <v>0</v>
      </c>
    </row>
    <row r="151" spans="1:14" x14ac:dyDescent="0.25">
      <c r="A151" s="10" t="s">
        <v>523</v>
      </c>
      <c r="B151" s="19">
        <v>-24533</v>
      </c>
      <c r="F151" s="10">
        <v>378</v>
      </c>
      <c r="G151" s="15">
        <v>844452</v>
      </c>
      <c r="I151" s="10">
        <v>378</v>
      </c>
      <c r="J151" s="13">
        <v>7</v>
      </c>
      <c r="M151" s="10">
        <v>378</v>
      </c>
      <c r="N151" s="16">
        <v>3.1007751937984496E-2</v>
      </c>
    </row>
    <row r="152" spans="1:14" x14ac:dyDescent="0.25">
      <c r="A152" s="10" t="s">
        <v>524</v>
      </c>
      <c r="B152" s="19">
        <v>-81585</v>
      </c>
      <c r="F152" s="10">
        <v>381</v>
      </c>
      <c r="G152" s="15">
        <v>1276517</v>
      </c>
      <c r="I152" s="10">
        <v>381</v>
      </c>
      <c r="J152" s="13">
        <v>9</v>
      </c>
      <c r="M152" s="10">
        <v>381</v>
      </c>
      <c r="N152" s="16">
        <v>2.7352607709750565E-2</v>
      </c>
    </row>
    <row r="153" spans="1:14" x14ac:dyDescent="0.25">
      <c r="A153" s="10" t="s">
        <v>525</v>
      </c>
      <c r="B153" s="19">
        <v>-15395</v>
      </c>
      <c r="F153" s="10">
        <v>383</v>
      </c>
      <c r="G153" s="15">
        <v>308287</v>
      </c>
      <c r="I153" s="10">
        <v>383</v>
      </c>
      <c r="J153" s="13">
        <v>1</v>
      </c>
      <c r="M153" s="10">
        <v>383</v>
      </c>
      <c r="N153" s="16">
        <v>0</v>
      </c>
    </row>
    <row r="154" spans="1:14" x14ac:dyDescent="0.25">
      <c r="A154" s="10" t="s">
        <v>526</v>
      </c>
      <c r="B154" s="19">
        <v>-28957</v>
      </c>
      <c r="F154" s="10">
        <v>385</v>
      </c>
      <c r="G154" s="15">
        <v>3637431</v>
      </c>
      <c r="I154" s="10">
        <v>385</v>
      </c>
      <c r="J154" s="13">
        <v>13</v>
      </c>
      <c r="M154" s="10">
        <v>385</v>
      </c>
      <c r="N154" s="16">
        <v>2.9204880332699881E-2</v>
      </c>
    </row>
    <row r="155" spans="1:14" x14ac:dyDescent="0.25">
      <c r="A155" s="10" t="s">
        <v>527</v>
      </c>
      <c r="B155" s="19">
        <v>-31867</v>
      </c>
      <c r="F155" s="10">
        <v>388</v>
      </c>
      <c r="G155" s="15">
        <v>642040</v>
      </c>
      <c r="I155" s="10">
        <v>388</v>
      </c>
      <c r="J155" s="13">
        <v>8</v>
      </c>
      <c r="M155" s="10">
        <v>388</v>
      </c>
      <c r="N155" s="16">
        <v>1.5625E-2</v>
      </c>
    </row>
    <row r="156" spans="1:14" x14ac:dyDescent="0.25">
      <c r="A156" s="10" t="s">
        <v>402</v>
      </c>
      <c r="B156" s="19">
        <v>10294</v>
      </c>
      <c r="F156" s="10">
        <v>391</v>
      </c>
      <c r="G156" s="15">
        <v>1339111</v>
      </c>
      <c r="I156" s="10">
        <v>391</v>
      </c>
      <c r="J156" s="13">
        <v>1</v>
      </c>
      <c r="M156" s="10">
        <v>391</v>
      </c>
      <c r="N156" s="16">
        <v>3.125E-2</v>
      </c>
    </row>
    <row r="157" spans="1:14" x14ac:dyDescent="0.25">
      <c r="A157" s="10" t="s">
        <v>528</v>
      </c>
      <c r="B157" s="19">
        <v>19381</v>
      </c>
      <c r="F157" s="10">
        <v>393</v>
      </c>
      <c r="G157" s="15">
        <v>882254</v>
      </c>
      <c r="I157" s="10">
        <v>393</v>
      </c>
      <c r="J157" s="13">
        <v>10</v>
      </c>
      <c r="M157" s="10">
        <v>393</v>
      </c>
      <c r="N157" s="16">
        <v>1.1627906976744186E-2</v>
      </c>
    </row>
    <row r="158" spans="1:14" x14ac:dyDescent="0.25">
      <c r="A158" s="10" t="s">
        <v>529</v>
      </c>
      <c r="B158" s="19">
        <v>-82048</v>
      </c>
      <c r="F158" s="10">
        <v>394</v>
      </c>
      <c r="G158" s="15">
        <v>1021364</v>
      </c>
      <c r="I158" s="10">
        <v>394</v>
      </c>
      <c r="J158" s="13">
        <v>11</v>
      </c>
      <c r="M158" s="10">
        <v>394</v>
      </c>
      <c r="N158" s="16">
        <v>2.0134228187919462E-2</v>
      </c>
    </row>
    <row r="159" spans="1:14" x14ac:dyDescent="0.25">
      <c r="A159" s="10" t="s">
        <v>530</v>
      </c>
      <c r="B159" s="19">
        <v>-1415</v>
      </c>
      <c r="F159" s="10">
        <v>399</v>
      </c>
      <c r="G159" s="15">
        <v>3750518</v>
      </c>
      <c r="I159" s="10">
        <v>399</v>
      </c>
      <c r="J159" s="13">
        <v>15</v>
      </c>
      <c r="M159" s="10">
        <v>399</v>
      </c>
      <c r="N159" s="16">
        <v>0</v>
      </c>
    </row>
    <row r="160" spans="1:14" x14ac:dyDescent="0.25">
      <c r="A160" s="10" t="s">
        <v>531</v>
      </c>
      <c r="B160" s="19">
        <v>-13644</v>
      </c>
      <c r="F160" s="10">
        <v>403</v>
      </c>
      <c r="G160" s="15">
        <v>1156734</v>
      </c>
      <c r="I160" s="10">
        <v>403</v>
      </c>
      <c r="J160" s="13">
        <v>4</v>
      </c>
      <c r="M160" s="10">
        <v>403</v>
      </c>
      <c r="N160" s="16">
        <v>1.0752688172043012E-2</v>
      </c>
    </row>
    <row r="161" spans="1:14" x14ac:dyDescent="0.25">
      <c r="A161" s="10" t="s">
        <v>532</v>
      </c>
      <c r="B161" s="19">
        <v>-82364</v>
      </c>
      <c r="F161" s="10">
        <v>404</v>
      </c>
      <c r="G161" s="15">
        <v>784201</v>
      </c>
      <c r="I161" s="10">
        <v>404</v>
      </c>
      <c r="J161" s="13">
        <v>9</v>
      </c>
      <c r="M161" s="10">
        <v>404</v>
      </c>
      <c r="N161" s="16">
        <v>1.5384615384615385E-2</v>
      </c>
    </row>
    <row r="162" spans="1:14" x14ac:dyDescent="0.25">
      <c r="A162" s="10" t="s">
        <v>533</v>
      </c>
      <c r="B162" s="19">
        <v>-68491</v>
      </c>
      <c r="F162" s="10">
        <v>405</v>
      </c>
      <c r="G162" s="15">
        <v>771303</v>
      </c>
      <c r="I162" s="10">
        <v>405</v>
      </c>
      <c r="J162" s="13">
        <v>6</v>
      </c>
      <c r="M162" s="10">
        <v>405</v>
      </c>
      <c r="N162" s="16">
        <v>4.1666666666666664E-2</v>
      </c>
    </row>
    <row r="163" spans="1:14" x14ac:dyDescent="0.25">
      <c r="A163" s="10" t="s">
        <v>534</v>
      </c>
      <c r="B163" s="19">
        <v>-158174</v>
      </c>
      <c r="F163" s="10">
        <v>407</v>
      </c>
      <c r="G163" s="15">
        <v>1450815</v>
      </c>
      <c r="I163" s="10">
        <v>407</v>
      </c>
      <c r="J163" s="13">
        <v>3</v>
      </c>
      <c r="M163" s="10">
        <v>407</v>
      </c>
      <c r="N163" s="16">
        <v>0</v>
      </c>
    </row>
    <row r="164" spans="1:14" x14ac:dyDescent="0.25">
      <c r="A164" s="10" t="s">
        <v>535</v>
      </c>
      <c r="B164" s="19">
        <v>-24204</v>
      </c>
      <c r="F164" s="10">
        <v>409</v>
      </c>
      <c r="G164" s="15">
        <v>843608</v>
      </c>
      <c r="I164" s="10">
        <v>409</v>
      </c>
      <c r="J164" s="13">
        <v>5</v>
      </c>
      <c r="M164" s="10">
        <v>409</v>
      </c>
      <c r="N164" s="16">
        <v>0.04</v>
      </c>
    </row>
    <row r="165" spans="1:14" x14ac:dyDescent="0.25">
      <c r="A165" s="10" t="s">
        <v>536</v>
      </c>
      <c r="B165" s="19">
        <v>-146836</v>
      </c>
      <c r="F165" s="10">
        <v>411</v>
      </c>
      <c r="G165" s="15">
        <v>1008609</v>
      </c>
      <c r="I165" s="10">
        <v>411</v>
      </c>
      <c r="J165" s="13">
        <v>4</v>
      </c>
      <c r="M165" s="10">
        <v>411</v>
      </c>
      <c r="N165" s="16">
        <v>2.6666666666666668E-2</v>
      </c>
    </row>
    <row r="166" spans="1:14" x14ac:dyDescent="0.25">
      <c r="A166" s="10" t="s">
        <v>537</v>
      </c>
      <c r="B166" s="19">
        <v>-83276</v>
      </c>
      <c r="F166" s="10">
        <v>414</v>
      </c>
      <c r="G166" s="15">
        <v>846282</v>
      </c>
      <c r="I166" s="10">
        <v>414</v>
      </c>
      <c r="J166" s="13">
        <v>6</v>
      </c>
      <c r="M166" s="10">
        <v>414</v>
      </c>
      <c r="N166" s="16">
        <v>4.4117647058823532E-2</v>
      </c>
    </row>
    <row r="167" spans="1:14" x14ac:dyDescent="0.25">
      <c r="A167" s="10" t="s">
        <v>538</v>
      </c>
      <c r="B167" s="19">
        <v>-74355</v>
      </c>
      <c r="F167" s="10">
        <v>415</v>
      </c>
      <c r="G167" s="15">
        <v>1652288</v>
      </c>
      <c r="I167" s="10">
        <v>415</v>
      </c>
      <c r="J167" s="13">
        <v>10</v>
      </c>
      <c r="M167" s="10">
        <v>415</v>
      </c>
      <c r="N167" s="16">
        <v>2.4758454106280192E-2</v>
      </c>
    </row>
    <row r="168" spans="1:14" x14ac:dyDescent="0.25">
      <c r="A168" s="10" t="s">
        <v>403</v>
      </c>
      <c r="B168" s="19">
        <v>-130595</v>
      </c>
      <c r="F168" s="10">
        <v>417</v>
      </c>
      <c r="G168" s="15">
        <v>958387</v>
      </c>
      <c r="I168" s="10">
        <v>417</v>
      </c>
      <c r="J168" s="13">
        <v>2</v>
      </c>
      <c r="M168" s="10">
        <v>417</v>
      </c>
      <c r="N168" s="16">
        <v>2.2900763358778626E-2</v>
      </c>
    </row>
    <row r="169" spans="1:14" x14ac:dyDescent="0.25">
      <c r="A169" s="10" t="s">
        <v>539</v>
      </c>
      <c r="B169" s="19">
        <v>-71290</v>
      </c>
      <c r="F169" s="10">
        <v>423</v>
      </c>
      <c r="G169" s="15">
        <v>2051142</v>
      </c>
      <c r="I169" s="10">
        <v>423</v>
      </c>
      <c r="J169" s="13">
        <v>6</v>
      </c>
      <c r="M169" s="10">
        <v>423</v>
      </c>
      <c r="N169" s="16">
        <v>1.3710171568627451E-2</v>
      </c>
    </row>
    <row r="170" spans="1:14" x14ac:dyDescent="0.25">
      <c r="A170" s="10" t="s">
        <v>404</v>
      </c>
      <c r="B170" s="19">
        <v>-108316</v>
      </c>
      <c r="F170" s="10">
        <v>424</v>
      </c>
      <c r="G170" s="15">
        <v>655296</v>
      </c>
      <c r="I170" s="10">
        <v>424</v>
      </c>
      <c r="J170" s="13">
        <v>6</v>
      </c>
      <c r="M170" s="10">
        <v>424</v>
      </c>
      <c r="N170" s="16">
        <v>2.3809523809523808E-2</v>
      </c>
    </row>
    <row r="171" spans="1:14" x14ac:dyDescent="0.25">
      <c r="A171" s="10" t="s">
        <v>405</v>
      </c>
      <c r="B171" s="19">
        <v>-111914</v>
      </c>
      <c r="F171" s="10">
        <v>427</v>
      </c>
      <c r="G171" s="15">
        <v>2196978</v>
      </c>
      <c r="I171" s="10">
        <v>427</v>
      </c>
      <c r="J171" s="13">
        <v>4</v>
      </c>
      <c r="M171" s="10">
        <v>427</v>
      </c>
      <c r="N171" s="16">
        <v>3.6045997346306945E-2</v>
      </c>
    </row>
    <row r="172" spans="1:14" x14ac:dyDescent="0.25">
      <c r="A172" s="10" t="s">
        <v>540</v>
      </c>
      <c r="B172" s="19">
        <v>-267342</v>
      </c>
      <c r="F172" s="10">
        <v>428</v>
      </c>
      <c r="G172" s="15">
        <v>2204954</v>
      </c>
      <c r="I172" s="10">
        <v>428</v>
      </c>
      <c r="J172" s="13">
        <v>6</v>
      </c>
      <c r="M172" s="10">
        <v>428</v>
      </c>
      <c r="N172" s="16">
        <v>2.1749408983451537E-2</v>
      </c>
    </row>
    <row r="173" spans="1:14" x14ac:dyDescent="0.25">
      <c r="A173" s="10" t="s">
        <v>541</v>
      </c>
      <c r="B173" s="19">
        <v>-116670</v>
      </c>
      <c r="F173" s="10">
        <v>433</v>
      </c>
      <c r="G173" s="15">
        <v>658810</v>
      </c>
      <c r="I173" s="10">
        <v>433</v>
      </c>
      <c r="J173" s="13">
        <v>8</v>
      </c>
      <c r="M173" s="10">
        <v>433</v>
      </c>
      <c r="N173" s="16">
        <v>1.9230769230769232E-2</v>
      </c>
    </row>
    <row r="174" spans="1:14" x14ac:dyDescent="0.25">
      <c r="A174" s="10" t="s">
        <v>406</v>
      </c>
      <c r="B174" s="19">
        <v>43655</v>
      </c>
      <c r="F174" s="10">
        <v>435</v>
      </c>
      <c r="G174" s="15">
        <v>740980</v>
      </c>
      <c r="I174" s="10">
        <v>435</v>
      </c>
      <c r="J174" s="13">
        <v>5</v>
      </c>
      <c r="M174" s="10">
        <v>435</v>
      </c>
      <c r="N174" s="16">
        <v>9.9009900990099011E-3</v>
      </c>
    </row>
    <row r="175" spans="1:14" x14ac:dyDescent="0.25">
      <c r="A175" s="10" t="s">
        <v>542</v>
      </c>
      <c r="B175" s="19">
        <v>-103154</v>
      </c>
      <c r="F175" s="10">
        <v>442</v>
      </c>
      <c r="G175" s="15">
        <v>538424</v>
      </c>
      <c r="I175" s="10">
        <v>442</v>
      </c>
      <c r="J175" s="13">
        <v>9</v>
      </c>
      <c r="M175" s="10">
        <v>442</v>
      </c>
      <c r="N175" s="16">
        <v>1.1764705882352941E-2</v>
      </c>
    </row>
    <row r="176" spans="1:14" x14ac:dyDescent="0.25">
      <c r="A176" s="10" t="s">
        <v>543</v>
      </c>
      <c r="B176" s="19">
        <v>-71545</v>
      </c>
      <c r="F176" s="10">
        <v>443</v>
      </c>
      <c r="G176" s="15">
        <v>1628725</v>
      </c>
      <c r="I176" s="10">
        <v>443</v>
      </c>
      <c r="J176" s="13">
        <v>4</v>
      </c>
      <c r="M176" s="10">
        <v>443</v>
      </c>
      <c r="N176" s="16">
        <v>1.3333333333333334E-2</v>
      </c>
    </row>
    <row r="177" spans="1:14" x14ac:dyDescent="0.25">
      <c r="A177" s="10" t="s">
        <v>407</v>
      </c>
      <c r="B177" s="19">
        <v>112223</v>
      </c>
      <c r="F177" s="10">
        <v>449</v>
      </c>
      <c r="G177" s="15">
        <v>1380269</v>
      </c>
      <c r="I177" s="10">
        <v>449</v>
      </c>
      <c r="J177" s="13">
        <v>8</v>
      </c>
      <c r="M177" s="10">
        <v>449</v>
      </c>
      <c r="N177" s="16">
        <v>2.6237276237276237E-2</v>
      </c>
    </row>
    <row r="178" spans="1:14" x14ac:dyDescent="0.25">
      <c r="A178" s="10" t="s">
        <v>544</v>
      </c>
      <c r="B178" s="19">
        <v>-135677</v>
      </c>
      <c r="F178" s="10">
        <v>457</v>
      </c>
      <c r="G178" s="15">
        <v>703166</v>
      </c>
      <c r="I178" s="10">
        <v>457</v>
      </c>
      <c r="J178" s="13">
        <v>5</v>
      </c>
      <c r="M178" s="10">
        <v>457</v>
      </c>
      <c r="N178" s="16">
        <v>3.8461538461538464E-2</v>
      </c>
    </row>
    <row r="179" spans="1:14" x14ac:dyDescent="0.25">
      <c r="A179" s="10" t="s">
        <v>545</v>
      </c>
      <c r="B179" s="19">
        <v>52036</v>
      </c>
      <c r="F179" s="10">
        <v>458</v>
      </c>
      <c r="G179" s="15">
        <v>1601014</v>
      </c>
      <c r="I179" s="10">
        <v>458</v>
      </c>
      <c r="J179" s="13">
        <v>4</v>
      </c>
      <c r="M179" s="10">
        <v>458</v>
      </c>
      <c r="N179" s="16">
        <v>2.564102564102564E-2</v>
      </c>
    </row>
    <row r="180" spans="1:14" x14ac:dyDescent="0.25">
      <c r="A180" s="10" t="s">
        <v>546</v>
      </c>
      <c r="B180" s="19">
        <v>-204276</v>
      </c>
      <c r="F180" s="10">
        <v>469</v>
      </c>
      <c r="G180" s="15">
        <v>694007</v>
      </c>
      <c r="I180" s="10">
        <v>469</v>
      </c>
      <c r="J180" s="13">
        <v>5</v>
      </c>
      <c r="M180" s="10">
        <v>469</v>
      </c>
      <c r="N180" s="16">
        <v>2.564102564102564E-2</v>
      </c>
    </row>
    <row r="181" spans="1:14" x14ac:dyDescent="0.25">
      <c r="A181" s="10" t="s">
        <v>547</v>
      </c>
      <c r="B181" s="19">
        <v>-145461</v>
      </c>
      <c r="F181" s="10">
        <v>474</v>
      </c>
      <c r="G181" s="15">
        <v>1634448</v>
      </c>
      <c r="I181" s="10">
        <v>474</v>
      </c>
      <c r="J181" s="13">
        <v>8</v>
      </c>
      <c r="M181" s="10">
        <v>474</v>
      </c>
      <c r="N181" s="16">
        <v>3.5714285714285712E-2</v>
      </c>
    </row>
    <row r="182" spans="1:14" x14ac:dyDescent="0.25">
      <c r="A182" s="10" t="s">
        <v>548</v>
      </c>
      <c r="B182" s="19">
        <v>-80101</v>
      </c>
      <c r="F182" s="10">
        <v>481</v>
      </c>
      <c r="G182" s="15">
        <v>1224335</v>
      </c>
      <c r="I182" s="10">
        <v>481</v>
      </c>
      <c r="J182" s="13">
        <v>5</v>
      </c>
      <c r="M182" s="10">
        <v>481</v>
      </c>
      <c r="N182" s="16">
        <v>1.4084507042253521E-2</v>
      </c>
    </row>
    <row r="183" spans="1:14" x14ac:dyDescent="0.25">
      <c r="A183" s="10" t="s">
        <v>549</v>
      </c>
      <c r="B183" s="19">
        <v>-46354</v>
      </c>
      <c r="F183" s="10">
        <v>498</v>
      </c>
      <c r="G183" s="15">
        <v>619437</v>
      </c>
      <c r="I183" s="10">
        <v>498</v>
      </c>
      <c r="J183" s="13">
        <v>6</v>
      </c>
      <c r="M183" s="10">
        <v>498</v>
      </c>
      <c r="N183" s="16">
        <v>1.4492753623188406E-2</v>
      </c>
    </row>
    <row r="184" spans="1:14" x14ac:dyDescent="0.25">
      <c r="A184" s="10" t="s">
        <v>550</v>
      </c>
      <c r="B184" s="19">
        <v>40479</v>
      </c>
      <c r="F184" s="10">
        <v>501</v>
      </c>
      <c r="G184" s="15">
        <v>641339</v>
      </c>
      <c r="I184" s="10">
        <v>501</v>
      </c>
      <c r="J184" s="13">
        <v>7</v>
      </c>
      <c r="M184" s="10">
        <v>501</v>
      </c>
      <c r="N184" s="16">
        <v>0</v>
      </c>
    </row>
    <row r="185" spans="1:14" x14ac:dyDescent="0.25">
      <c r="A185" s="10" t="s">
        <v>551</v>
      </c>
      <c r="B185" s="19">
        <v>45149</v>
      </c>
      <c r="F185" s="10">
        <v>505</v>
      </c>
      <c r="G185" s="15">
        <v>544095</v>
      </c>
      <c r="I185" s="10">
        <v>505</v>
      </c>
      <c r="J185" s="13">
        <v>2</v>
      </c>
      <c r="M185" s="10">
        <v>505</v>
      </c>
      <c r="N185" s="16">
        <v>0</v>
      </c>
    </row>
    <row r="186" spans="1:14" x14ac:dyDescent="0.25">
      <c r="A186" s="10" t="s">
        <v>552</v>
      </c>
      <c r="B186" s="19">
        <v>-1666</v>
      </c>
      <c r="F186" s="10">
        <v>506</v>
      </c>
      <c r="G186" s="15">
        <v>1442983</v>
      </c>
      <c r="I186" s="10">
        <v>506</v>
      </c>
      <c r="J186" s="13">
        <v>9</v>
      </c>
      <c r="M186" s="10">
        <v>506</v>
      </c>
      <c r="N186" s="16">
        <v>2.551622418879056E-2</v>
      </c>
    </row>
    <row r="187" spans="1:14" x14ac:dyDescent="0.25">
      <c r="A187" s="10" t="s">
        <v>408</v>
      </c>
      <c r="B187" s="19">
        <v>-112461</v>
      </c>
      <c r="F187" s="10">
        <v>509</v>
      </c>
      <c r="G187" s="15">
        <v>936189</v>
      </c>
      <c r="I187" s="10">
        <v>509</v>
      </c>
      <c r="J187" s="13">
        <v>8</v>
      </c>
      <c r="M187" s="10">
        <v>509</v>
      </c>
      <c r="N187" s="16">
        <v>2.9850746268656716E-2</v>
      </c>
    </row>
    <row r="188" spans="1:14" x14ac:dyDescent="0.25">
      <c r="A188" s="10" t="s">
        <v>409</v>
      </c>
      <c r="B188" s="19">
        <v>-158897</v>
      </c>
      <c r="F188" s="10">
        <v>513</v>
      </c>
      <c r="G188" s="15">
        <v>880047</v>
      </c>
      <c r="I188" s="10">
        <v>513</v>
      </c>
      <c r="J188" s="13">
        <v>7</v>
      </c>
      <c r="M188" s="10">
        <v>513</v>
      </c>
      <c r="N188" s="16">
        <v>3.1746031746031744E-2</v>
      </c>
    </row>
    <row r="189" spans="1:14" x14ac:dyDescent="0.25">
      <c r="A189" s="10" t="s">
        <v>553</v>
      </c>
      <c r="B189" s="19">
        <v>-189494</v>
      </c>
      <c r="F189" s="10">
        <v>514</v>
      </c>
      <c r="G189" s="15">
        <v>892839</v>
      </c>
      <c r="I189" s="10">
        <v>514</v>
      </c>
      <c r="J189" s="13">
        <v>2</v>
      </c>
      <c r="M189" s="10">
        <v>514</v>
      </c>
      <c r="N189" s="16">
        <v>1.5267175572519083E-2</v>
      </c>
    </row>
    <row r="190" spans="1:14" x14ac:dyDescent="0.25">
      <c r="A190" s="10" t="s">
        <v>554</v>
      </c>
      <c r="B190" s="19">
        <v>-127892</v>
      </c>
      <c r="F190" s="10">
        <v>519</v>
      </c>
      <c r="G190" s="15">
        <v>1026204</v>
      </c>
      <c r="I190" s="10">
        <v>519</v>
      </c>
      <c r="J190" s="13">
        <v>5</v>
      </c>
      <c r="M190" s="10">
        <v>519</v>
      </c>
      <c r="N190" s="16">
        <v>2.5000000000000001E-2</v>
      </c>
    </row>
    <row r="191" spans="1:14" x14ac:dyDescent="0.25">
      <c r="A191" s="10" t="s">
        <v>555</v>
      </c>
      <c r="B191" s="19">
        <v>12147</v>
      </c>
      <c r="F191" s="10">
        <v>521</v>
      </c>
      <c r="G191" s="15">
        <v>2262610</v>
      </c>
      <c r="I191" s="10">
        <v>521</v>
      </c>
      <c r="J191" s="13">
        <v>11</v>
      </c>
      <c r="M191" s="10">
        <v>521</v>
      </c>
      <c r="N191" s="16">
        <v>2.6527979358168037E-2</v>
      </c>
    </row>
    <row r="192" spans="1:14" x14ac:dyDescent="0.25">
      <c r="A192" s="10" t="s">
        <v>556</v>
      </c>
      <c r="B192" s="19">
        <v>36694</v>
      </c>
      <c r="F192" s="10">
        <v>522</v>
      </c>
      <c r="G192" s="15">
        <v>2128050</v>
      </c>
      <c r="I192" s="10">
        <v>522</v>
      </c>
      <c r="J192" s="13">
        <v>8</v>
      </c>
      <c r="M192" s="10">
        <v>522</v>
      </c>
      <c r="N192" s="16">
        <v>2.797270955165692E-2</v>
      </c>
    </row>
    <row r="193" spans="1:14" x14ac:dyDescent="0.25">
      <c r="A193" s="10" t="s">
        <v>557</v>
      </c>
      <c r="B193" s="19">
        <v>-1708</v>
      </c>
      <c r="F193" s="10">
        <v>524</v>
      </c>
      <c r="G193" s="15">
        <v>971872</v>
      </c>
      <c r="I193" s="10">
        <v>524</v>
      </c>
      <c r="J193" s="13">
        <v>7</v>
      </c>
      <c r="M193" s="10">
        <v>524</v>
      </c>
      <c r="N193" s="16">
        <v>5.3846153846153849E-2</v>
      </c>
    </row>
    <row r="194" spans="1:14" x14ac:dyDescent="0.25">
      <c r="A194" s="10" t="s">
        <v>558</v>
      </c>
      <c r="B194" s="19">
        <v>-144264</v>
      </c>
      <c r="F194" s="10">
        <v>525</v>
      </c>
      <c r="G194" s="15">
        <v>505575</v>
      </c>
      <c r="I194" s="10">
        <v>525</v>
      </c>
      <c r="J194" s="13">
        <v>1</v>
      </c>
      <c r="M194" s="10">
        <v>525</v>
      </c>
      <c r="N194" s="16">
        <v>3.8461538461538464E-2</v>
      </c>
    </row>
    <row r="195" spans="1:14" x14ac:dyDescent="0.25">
      <c r="A195" s="10" t="s">
        <v>559</v>
      </c>
      <c r="B195" s="19">
        <v>-16769</v>
      </c>
      <c r="F195" s="10">
        <v>529</v>
      </c>
      <c r="G195" s="15">
        <v>371272</v>
      </c>
      <c r="I195" s="10">
        <v>529</v>
      </c>
      <c r="J195" s="13">
        <v>5</v>
      </c>
      <c r="M195" s="10">
        <v>529</v>
      </c>
      <c r="N195" s="16">
        <v>0</v>
      </c>
    </row>
    <row r="196" spans="1:14" x14ac:dyDescent="0.25">
      <c r="A196" s="10" t="s">
        <v>560</v>
      </c>
      <c r="B196" s="19">
        <v>-45395</v>
      </c>
      <c r="F196" s="10">
        <v>531</v>
      </c>
      <c r="G196" s="15">
        <v>1941155</v>
      </c>
      <c r="I196" s="10">
        <v>531</v>
      </c>
      <c r="J196" s="13">
        <v>6</v>
      </c>
      <c r="M196" s="10">
        <v>531</v>
      </c>
      <c r="N196" s="16">
        <v>2.9411764705882353E-2</v>
      </c>
    </row>
    <row r="197" spans="1:14" x14ac:dyDescent="0.25">
      <c r="A197" s="10" t="s">
        <v>561</v>
      </c>
      <c r="B197" s="19">
        <v>-39101</v>
      </c>
      <c r="F197" s="10">
        <v>538</v>
      </c>
      <c r="G197" s="15">
        <v>1456675</v>
      </c>
      <c r="I197" s="10">
        <v>538</v>
      </c>
      <c r="J197" s="13">
        <v>6</v>
      </c>
      <c r="M197" s="10">
        <v>538</v>
      </c>
      <c r="N197" s="16">
        <v>1.2903225806451613E-2</v>
      </c>
    </row>
    <row r="198" spans="1:14" x14ac:dyDescent="0.25">
      <c r="A198" s="10" t="s">
        <v>562</v>
      </c>
      <c r="B198" s="19">
        <v>-40058</v>
      </c>
      <c r="F198" s="10">
        <v>542</v>
      </c>
      <c r="G198" s="15">
        <v>571032</v>
      </c>
      <c r="I198" s="10">
        <v>542</v>
      </c>
      <c r="J198" s="13">
        <v>3</v>
      </c>
      <c r="M198" s="10">
        <v>542</v>
      </c>
      <c r="N198" s="16">
        <v>3.3898305084745763E-2</v>
      </c>
    </row>
    <row r="199" spans="1:14" x14ac:dyDescent="0.25">
      <c r="A199" s="10" t="s">
        <v>563</v>
      </c>
      <c r="B199" s="19">
        <v>68816</v>
      </c>
      <c r="F199" s="10">
        <v>544</v>
      </c>
      <c r="G199" s="15">
        <v>1840074</v>
      </c>
      <c r="I199" s="10">
        <v>544</v>
      </c>
      <c r="J199" s="13">
        <v>19</v>
      </c>
      <c r="M199" s="10">
        <v>544</v>
      </c>
      <c r="N199" s="16">
        <v>2.5062656641604009E-2</v>
      </c>
    </row>
    <row r="200" spans="1:14" x14ac:dyDescent="0.25">
      <c r="A200" s="10" t="s">
        <v>410</v>
      </c>
      <c r="B200" s="19">
        <v>130349</v>
      </c>
      <c r="F200" s="10">
        <v>551</v>
      </c>
      <c r="G200" s="15">
        <v>573672</v>
      </c>
      <c r="I200" s="10">
        <v>551</v>
      </c>
      <c r="J200" s="13">
        <v>3</v>
      </c>
      <c r="M200" s="10">
        <v>551</v>
      </c>
      <c r="N200" s="16">
        <v>0</v>
      </c>
    </row>
    <row r="201" spans="1:14" x14ac:dyDescent="0.25">
      <c r="A201" s="10" t="s">
        <v>411</v>
      </c>
      <c r="B201" s="19">
        <v>-54612</v>
      </c>
      <c r="F201" s="10">
        <v>557</v>
      </c>
      <c r="G201" s="15">
        <v>1134627</v>
      </c>
      <c r="I201" s="10">
        <v>557</v>
      </c>
      <c r="J201" s="13">
        <v>17</v>
      </c>
      <c r="M201" s="10">
        <v>557</v>
      </c>
      <c r="N201" s="16">
        <v>0</v>
      </c>
    </row>
    <row r="202" spans="1:14" x14ac:dyDescent="0.25">
      <c r="A202" s="10" t="s">
        <v>564</v>
      </c>
      <c r="B202" s="19">
        <v>29984</v>
      </c>
      <c r="F202" s="10">
        <v>560</v>
      </c>
      <c r="G202" s="15">
        <v>1906840</v>
      </c>
      <c r="I202" s="10">
        <v>560</v>
      </c>
      <c r="J202" s="13">
        <v>4</v>
      </c>
      <c r="M202" s="10">
        <v>560</v>
      </c>
      <c r="N202" s="16">
        <v>0</v>
      </c>
    </row>
    <row r="203" spans="1:14" x14ac:dyDescent="0.25">
      <c r="A203" s="10" t="s">
        <v>565</v>
      </c>
      <c r="B203" s="19">
        <v>-207702</v>
      </c>
      <c r="F203" s="10">
        <v>561</v>
      </c>
      <c r="G203" s="15">
        <v>608706</v>
      </c>
      <c r="I203" s="10">
        <v>561</v>
      </c>
      <c r="J203" s="13">
        <v>2</v>
      </c>
      <c r="M203" s="10">
        <v>561</v>
      </c>
      <c r="N203" s="16">
        <v>0</v>
      </c>
    </row>
    <row r="204" spans="1:14" x14ac:dyDescent="0.25">
      <c r="A204" s="10" t="s">
        <v>566</v>
      </c>
      <c r="B204" s="19">
        <v>-32663</v>
      </c>
      <c r="F204" s="10">
        <v>565</v>
      </c>
      <c r="G204" s="15">
        <v>384873</v>
      </c>
      <c r="I204" s="10">
        <v>565</v>
      </c>
      <c r="J204" s="13">
        <v>6</v>
      </c>
      <c r="M204" s="10">
        <v>565</v>
      </c>
      <c r="N204" s="16">
        <v>0</v>
      </c>
    </row>
    <row r="205" spans="1:14" x14ac:dyDescent="0.25">
      <c r="A205" s="10" t="s">
        <v>567</v>
      </c>
      <c r="B205" s="19">
        <v>-126905</v>
      </c>
      <c r="F205" s="10">
        <v>568</v>
      </c>
      <c r="G205" s="15">
        <v>947468</v>
      </c>
      <c r="I205" s="10">
        <v>568</v>
      </c>
      <c r="J205" s="13">
        <v>9</v>
      </c>
      <c r="M205" s="10">
        <v>568</v>
      </c>
      <c r="N205" s="16">
        <v>0</v>
      </c>
    </row>
    <row r="206" spans="1:14" x14ac:dyDescent="0.25">
      <c r="A206" s="10" t="s">
        <v>568</v>
      </c>
      <c r="B206" s="19">
        <v>-8209</v>
      </c>
      <c r="F206" s="10">
        <v>571</v>
      </c>
      <c r="G206" s="15">
        <v>1058805</v>
      </c>
      <c r="I206" s="10">
        <v>571</v>
      </c>
      <c r="J206" s="13">
        <v>2</v>
      </c>
      <c r="M206" s="10">
        <v>571</v>
      </c>
      <c r="N206" s="16">
        <v>6.41025641025641E-3</v>
      </c>
    </row>
    <row r="207" spans="1:14" x14ac:dyDescent="0.25">
      <c r="A207" s="10" t="s">
        <v>569</v>
      </c>
      <c r="B207" s="19">
        <v>-92215</v>
      </c>
      <c r="F207" s="10">
        <v>580</v>
      </c>
      <c r="G207" s="15">
        <v>1826460</v>
      </c>
      <c r="I207" s="10">
        <v>580</v>
      </c>
      <c r="J207" s="13">
        <v>2</v>
      </c>
      <c r="M207" s="10">
        <v>580</v>
      </c>
      <c r="N207" s="16">
        <v>8.9285714285714281E-3</v>
      </c>
    </row>
    <row r="208" spans="1:14" x14ac:dyDescent="0.25">
      <c r="A208" s="10" t="s">
        <v>412</v>
      </c>
      <c r="B208" s="19">
        <v>-13693</v>
      </c>
      <c r="F208" s="10">
        <v>582</v>
      </c>
      <c r="G208" s="15">
        <v>1350830</v>
      </c>
      <c r="I208" s="10">
        <v>582</v>
      </c>
      <c r="J208" s="13">
        <v>9</v>
      </c>
      <c r="M208" s="10">
        <v>582</v>
      </c>
      <c r="N208" s="16">
        <v>2.4865591397849461E-2</v>
      </c>
    </row>
    <row r="209" spans="1:14" x14ac:dyDescent="0.25">
      <c r="A209" s="10" t="s">
        <v>570</v>
      </c>
      <c r="B209" s="19">
        <v>-182960</v>
      </c>
      <c r="F209" s="10">
        <v>583</v>
      </c>
      <c r="G209" s="15">
        <v>972159</v>
      </c>
      <c r="I209" s="10">
        <v>583</v>
      </c>
      <c r="J209" s="13">
        <v>7</v>
      </c>
      <c r="M209" s="10">
        <v>583</v>
      </c>
      <c r="N209" s="16">
        <v>0</v>
      </c>
    </row>
    <row r="210" spans="1:14" x14ac:dyDescent="0.25">
      <c r="A210" s="10" t="s">
        <v>413</v>
      </c>
      <c r="B210" s="19">
        <v>100741</v>
      </c>
      <c r="F210" s="10">
        <v>586</v>
      </c>
      <c r="G210" s="15">
        <v>1311296</v>
      </c>
      <c r="I210" s="10">
        <v>586</v>
      </c>
      <c r="J210" s="13">
        <v>13</v>
      </c>
      <c r="M210" s="10">
        <v>586</v>
      </c>
      <c r="N210" s="16">
        <v>0</v>
      </c>
    </row>
    <row r="211" spans="1:14" x14ac:dyDescent="0.25">
      <c r="A211" s="10" t="s">
        <v>414</v>
      </c>
      <c r="B211" s="19">
        <v>155365</v>
      </c>
      <c r="F211" s="10">
        <v>587</v>
      </c>
      <c r="G211" s="15">
        <v>892419</v>
      </c>
      <c r="I211" s="10">
        <v>587</v>
      </c>
      <c r="J211" s="13">
        <v>6</v>
      </c>
      <c r="M211" s="10">
        <v>587</v>
      </c>
      <c r="N211" s="16">
        <v>3.1746031746031744E-2</v>
      </c>
    </row>
    <row r="212" spans="1:14" x14ac:dyDescent="0.25">
      <c r="A212" s="10" t="s">
        <v>571</v>
      </c>
      <c r="B212" s="19">
        <v>51616</v>
      </c>
      <c r="F212" s="10">
        <v>591</v>
      </c>
      <c r="G212" s="15">
        <v>594364</v>
      </c>
      <c r="I212" s="10">
        <v>591</v>
      </c>
      <c r="J212" s="13">
        <v>7</v>
      </c>
      <c r="M212" s="10">
        <v>591</v>
      </c>
      <c r="N212" s="16">
        <v>1.8181818181818181E-2</v>
      </c>
    </row>
    <row r="213" spans="1:14" x14ac:dyDescent="0.25">
      <c r="A213" s="10" t="s">
        <v>572</v>
      </c>
      <c r="B213" s="19">
        <v>-27256</v>
      </c>
      <c r="F213" s="10">
        <v>593</v>
      </c>
      <c r="G213" s="15">
        <v>1755294</v>
      </c>
      <c r="I213" s="10">
        <v>593</v>
      </c>
      <c r="J213" s="13">
        <v>3</v>
      </c>
      <c r="M213" s="10">
        <v>593</v>
      </c>
      <c r="N213" s="16">
        <v>1.834862385321101E-2</v>
      </c>
    </row>
    <row r="214" spans="1:14" x14ac:dyDescent="0.25">
      <c r="A214" s="10" t="s">
        <v>415</v>
      </c>
      <c r="B214" s="19">
        <v>129438</v>
      </c>
      <c r="F214" s="10">
        <v>595</v>
      </c>
      <c r="G214" s="15">
        <v>1584738</v>
      </c>
      <c r="I214" s="10">
        <v>595</v>
      </c>
      <c r="J214" s="13">
        <v>16</v>
      </c>
      <c r="M214" s="10">
        <v>595</v>
      </c>
      <c r="N214" s="16">
        <v>2.0002000200020003E-2</v>
      </c>
    </row>
    <row r="215" spans="1:14" x14ac:dyDescent="0.25">
      <c r="A215" s="10" t="s">
        <v>416</v>
      </c>
      <c r="B215" s="19">
        <v>14903</v>
      </c>
      <c r="F215" s="10">
        <v>605</v>
      </c>
      <c r="G215" s="15">
        <v>603670</v>
      </c>
      <c r="I215" s="10">
        <v>605</v>
      </c>
      <c r="J215" s="13">
        <v>3</v>
      </c>
      <c r="M215" s="10">
        <v>605</v>
      </c>
      <c r="N215" s="16">
        <v>3.7735849056603772E-2</v>
      </c>
    </row>
    <row r="216" spans="1:14" x14ac:dyDescent="0.25">
      <c r="A216" s="10" t="s">
        <v>573</v>
      </c>
      <c r="B216" s="19">
        <v>-33187</v>
      </c>
      <c r="F216" s="10">
        <v>612</v>
      </c>
      <c r="G216" s="15">
        <v>2107107</v>
      </c>
      <c r="I216" s="10">
        <v>612</v>
      </c>
      <c r="J216" s="13">
        <v>5</v>
      </c>
      <c r="M216" s="10">
        <v>612</v>
      </c>
      <c r="N216" s="16">
        <v>2.2222222222222223E-2</v>
      </c>
    </row>
    <row r="217" spans="1:14" x14ac:dyDescent="0.25">
      <c r="A217" s="10" t="s">
        <v>417</v>
      </c>
      <c r="B217" s="19">
        <v>-25288</v>
      </c>
      <c r="F217" s="10">
        <v>623</v>
      </c>
      <c r="G217" s="15">
        <v>1309173</v>
      </c>
      <c r="I217" s="10">
        <v>623</v>
      </c>
      <c r="J217" s="13">
        <v>4</v>
      </c>
      <c r="M217" s="10">
        <v>623</v>
      </c>
      <c r="N217" s="16">
        <v>3.7499999999999999E-2</v>
      </c>
    </row>
    <row r="218" spans="1:14" x14ac:dyDescent="0.25">
      <c r="A218" s="10" t="s">
        <v>574</v>
      </c>
      <c r="B218" s="19">
        <v>-2125</v>
      </c>
      <c r="F218" s="10">
        <v>626</v>
      </c>
      <c r="G218" s="15">
        <v>1607119</v>
      </c>
      <c r="I218" s="10">
        <v>626</v>
      </c>
      <c r="J218" s="13">
        <v>7</v>
      </c>
      <c r="M218" s="10">
        <v>626</v>
      </c>
      <c r="N218" s="16">
        <v>1.834862385321101E-2</v>
      </c>
    </row>
    <row r="219" spans="1:14" x14ac:dyDescent="0.25">
      <c r="A219" s="10" t="s">
        <v>377</v>
      </c>
      <c r="B219" s="19">
        <v>-6701887</v>
      </c>
      <c r="F219" s="10">
        <v>627</v>
      </c>
      <c r="G219" s="15">
        <v>868026</v>
      </c>
      <c r="I219" s="10">
        <v>627</v>
      </c>
      <c r="J219" s="13">
        <v>4</v>
      </c>
      <c r="M219" s="10">
        <v>627</v>
      </c>
      <c r="N219" s="16">
        <v>0</v>
      </c>
    </row>
    <row r="220" spans="1:14" x14ac:dyDescent="0.25">
      <c r="F220" s="10">
        <v>628</v>
      </c>
      <c r="G220" s="15">
        <v>759892</v>
      </c>
      <c r="I220" s="10">
        <v>628</v>
      </c>
      <c r="J220" s="13">
        <v>4</v>
      </c>
      <c r="M220" s="10">
        <v>628</v>
      </c>
      <c r="N220" s="16">
        <v>1.1627906976744186E-2</v>
      </c>
    </row>
    <row r="221" spans="1:14" x14ac:dyDescent="0.25">
      <c r="F221" s="10">
        <v>633</v>
      </c>
      <c r="G221" s="15">
        <v>769649</v>
      </c>
      <c r="I221" s="10">
        <v>633</v>
      </c>
      <c r="J221" s="13">
        <v>7</v>
      </c>
      <c r="M221" s="10">
        <v>633</v>
      </c>
      <c r="N221" s="16">
        <v>2.9411764705882353E-2</v>
      </c>
    </row>
    <row r="222" spans="1:14" x14ac:dyDescent="0.25">
      <c r="F222" s="10">
        <v>634</v>
      </c>
      <c r="G222" s="15">
        <v>1639146</v>
      </c>
      <c r="I222" s="10">
        <v>634</v>
      </c>
      <c r="J222" s="13">
        <v>7</v>
      </c>
      <c r="M222" s="10">
        <v>634</v>
      </c>
      <c r="N222" s="16">
        <v>1.8055555555555554E-2</v>
      </c>
    </row>
    <row r="223" spans="1:14" x14ac:dyDescent="0.25">
      <c r="F223" s="10">
        <v>635</v>
      </c>
      <c r="G223" s="15">
        <v>473687</v>
      </c>
      <c r="I223" s="10">
        <v>635</v>
      </c>
      <c r="J223" s="13">
        <v>7</v>
      </c>
      <c r="M223" s="10">
        <v>635</v>
      </c>
      <c r="N223" s="16">
        <v>2.1739130434782608E-2</v>
      </c>
    </row>
    <row r="224" spans="1:14" x14ac:dyDescent="0.25">
      <c r="F224" s="10">
        <v>639</v>
      </c>
      <c r="G224" s="15">
        <v>3218046</v>
      </c>
      <c r="I224" s="10">
        <v>639</v>
      </c>
      <c r="J224" s="13">
        <v>13</v>
      </c>
      <c r="M224" s="10">
        <v>639</v>
      </c>
      <c r="N224" s="16">
        <v>2.5799222690812865E-2</v>
      </c>
    </row>
    <row r="225" spans="3:14" x14ac:dyDescent="0.25">
      <c r="C225" s="16"/>
      <c r="F225" s="10">
        <v>640</v>
      </c>
      <c r="G225" s="15">
        <v>2373067</v>
      </c>
      <c r="I225" s="10">
        <v>640</v>
      </c>
      <c r="J225" s="13">
        <v>5</v>
      </c>
      <c r="M225" s="10">
        <v>640</v>
      </c>
      <c r="N225" s="16">
        <v>2.0408163265306121E-2</v>
      </c>
    </row>
    <row r="226" spans="3:14" x14ac:dyDescent="0.25">
      <c r="C226" s="16"/>
      <c r="F226" s="10">
        <v>644</v>
      </c>
      <c r="G226" s="15">
        <v>2105948</v>
      </c>
      <c r="I226" s="10">
        <v>644</v>
      </c>
      <c r="J226" s="13">
        <v>6</v>
      </c>
      <c r="M226" s="10">
        <v>644</v>
      </c>
      <c r="N226" s="16">
        <v>0</v>
      </c>
    </row>
    <row r="227" spans="3:14" x14ac:dyDescent="0.25">
      <c r="C227" s="16"/>
      <c r="F227" s="10">
        <v>645</v>
      </c>
      <c r="G227" s="15">
        <v>1033180</v>
      </c>
      <c r="I227" s="10">
        <v>645</v>
      </c>
      <c r="J227" s="13">
        <v>10</v>
      </c>
      <c r="M227" s="10">
        <v>645</v>
      </c>
      <c r="N227" s="16">
        <v>1.0309278350515464E-2</v>
      </c>
    </row>
    <row r="228" spans="3:14" x14ac:dyDescent="0.25">
      <c r="C228" s="16"/>
      <c r="F228" s="10">
        <v>646</v>
      </c>
      <c r="G228" s="15">
        <v>1604770</v>
      </c>
      <c r="I228" s="10">
        <v>646</v>
      </c>
      <c r="J228" s="13">
        <v>2</v>
      </c>
      <c r="M228" s="10">
        <v>646</v>
      </c>
      <c r="N228" s="16">
        <v>3.1914893617021274E-2</v>
      </c>
    </row>
    <row r="229" spans="3:14" x14ac:dyDescent="0.25">
      <c r="C229" s="16"/>
      <c r="F229" s="10">
        <v>647</v>
      </c>
      <c r="G229" s="15">
        <v>2387178</v>
      </c>
      <c r="I229" s="10">
        <v>647</v>
      </c>
      <c r="J229" s="13">
        <v>18</v>
      </c>
      <c r="M229" s="10">
        <v>647</v>
      </c>
      <c r="N229" s="16">
        <v>1.4705882352941176E-2</v>
      </c>
    </row>
    <row r="230" spans="3:14" x14ac:dyDescent="0.25">
      <c r="C230" s="16"/>
      <c r="F230" s="10">
        <v>649</v>
      </c>
      <c r="G230" s="15">
        <v>1382850</v>
      </c>
      <c r="I230" s="10">
        <v>649</v>
      </c>
      <c r="J230" s="13">
        <v>7</v>
      </c>
      <c r="M230" s="10">
        <v>649</v>
      </c>
      <c r="N230" s="16">
        <v>0</v>
      </c>
    </row>
    <row r="231" spans="3:14" x14ac:dyDescent="0.25">
      <c r="C231" s="16"/>
      <c r="F231" s="10">
        <v>651</v>
      </c>
      <c r="G231" s="15">
        <v>1697631</v>
      </c>
      <c r="I231" s="10">
        <v>651</v>
      </c>
      <c r="J231" s="13">
        <v>6</v>
      </c>
      <c r="M231" s="10">
        <v>651</v>
      </c>
      <c r="N231" s="16">
        <v>3.125E-2</v>
      </c>
    </row>
    <row r="232" spans="3:14" x14ac:dyDescent="0.25">
      <c r="C232" s="16"/>
      <c r="F232" s="10">
        <v>657</v>
      </c>
      <c r="G232" s="15">
        <v>2017935</v>
      </c>
      <c r="I232" s="10">
        <v>657</v>
      </c>
      <c r="J232" s="13">
        <v>6</v>
      </c>
      <c r="M232" s="10">
        <v>657</v>
      </c>
      <c r="N232" s="16">
        <v>1.5873015873015872E-2</v>
      </c>
    </row>
    <row r="233" spans="3:14" x14ac:dyDescent="0.25">
      <c r="F233" s="10">
        <v>659</v>
      </c>
      <c r="G233" s="15">
        <v>1455830</v>
      </c>
      <c r="I233" s="10">
        <v>659</v>
      </c>
      <c r="J233" s="13">
        <v>4</v>
      </c>
      <c r="M233" s="10">
        <v>659</v>
      </c>
      <c r="N233" s="16">
        <v>0</v>
      </c>
    </row>
    <row r="234" spans="3:14" x14ac:dyDescent="0.25">
      <c r="F234" s="10">
        <v>663</v>
      </c>
      <c r="G234" s="15">
        <v>1881645</v>
      </c>
      <c r="I234" s="10">
        <v>663</v>
      </c>
      <c r="J234" s="13">
        <v>8</v>
      </c>
      <c r="M234" s="10">
        <v>663</v>
      </c>
      <c r="N234" s="16">
        <v>3.9215686274509803E-2</v>
      </c>
    </row>
    <row r="235" spans="3:14" x14ac:dyDescent="0.25">
      <c r="F235" s="10">
        <v>672</v>
      </c>
      <c r="G235" s="15">
        <v>2029335</v>
      </c>
      <c r="I235" s="10">
        <v>672</v>
      </c>
      <c r="J235" s="13">
        <v>1</v>
      </c>
      <c r="M235" s="10">
        <v>672</v>
      </c>
      <c r="N235" s="16">
        <v>3.007518796992481E-2</v>
      </c>
    </row>
    <row r="236" spans="3:14" x14ac:dyDescent="0.25">
      <c r="F236" s="10">
        <v>674</v>
      </c>
      <c r="G236" s="15">
        <v>2354960</v>
      </c>
      <c r="I236" s="10">
        <v>674</v>
      </c>
      <c r="J236" s="13">
        <v>8</v>
      </c>
      <c r="M236" s="10">
        <v>674</v>
      </c>
      <c r="N236" s="16">
        <v>1.1904761904761904E-2</v>
      </c>
    </row>
    <row r="237" spans="3:14" x14ac:dyDescent="0.25">
      <c r="F237" s="10">
        <v>678</v>
      </c>
      <c r="G237" s="15">
        <v>2374684</v>
      </c>
      <c r="I237" s="10">
        <v>678</v>
      </c>
      <c r="J237" s="13">
        <v>6</v>
      </c>
      <c r="M237" s="10">
        <v>678</v>
      </c>
      <c r="N237" s="16">
        <v>6.7567567567567571E-3</v>
      </c>
    </row>
    <row r="238" spans="3:14" x14ac:dyDescent="0.25">
      <c r="F238" s="10">
        <v>682</v>
      </c>
      <c r="G238" s="15">
        <v>1073490</v>
      </c>
      <c r="I238" s="10">
        <v>682</v>
      </c>
      <c r="J238" s="13">
        <v>8</v>
      </c>
      <c r="M238" s="10">
        <v>682</v>
      </c>
      <c r="N238" s="16">
        <v>1.1363636363636364E-2</v>
      </c>
    </row>
    <row r="239" spans="3:14" x14ac:dyDescent="0.25">
      <c r="F239" s="10">
        <v>685</v>
      </c>
      <c r="G239" s="15">
        <v>1254474</v>
      </c>
      <c r="I239" s="10">
        <v>685</v>
      </c>
      <c r="J239" s="13">
        <v>2</v>
      </c>
      <c r="M239" s="10">
        <v>685</v>
      </c>
      <c r="N239" s="16">
        <v>0</v>
      </c>
    </row>
    <row r="240" spans="3:14" x14ac:dyDescent="0.25">
      <c r="F240" s="10">
        <v>690</v>
      </c>
      <c r="G240" s="15">
        <v>2241942</v>
      </c>
      <c r="I240" s="10">
        <v>690</v>
      </c>
      <c r="J240" s="13">
        <v>11</v>
      </c>
      <c r="M240" s="10">
        <v>690</v>
      </c>
      <c r="N240" s="16">
        <v>1.7241379310344827E-2</v>
      </c>
    </row>
    <row r="241" spans="6:14" x14ac:dyDescent="0.25">
      <c r="F241" s="10">
        <v>696</v>
      </c>
      <c r="G241" s="15">
        <v>4890590</v>
      </c>
      <c r="I241" s="10">
        <v>696</v>
      </c>
      <c r="J241" s="13">
        <v>18</v>
      </c>
      <c r="M241" s="10">
        <v>696</v>
      </c>
      <c r="N241" s="16">
        <v>2.3416287196865403E-2</v>
      </c>
    </row>
    <row r="242" spans="6:14" x14ac:dyDescent="0.25">
      <c r="F242" s="10">
        <v>706</v>
      </c>
      <c r="G242" s="15">
        <v>936388</v>
      </c>
      <c r="I242" s="10">
        <v>706</v>
      </c>
      <c r="J242" s="13">
        <v>6</v>
      </c>
      <c r="M242" s="10">
        <v>706</v>
      </c>
      <c r="N242" s="16">
        <v>2.5000000000000001E-2</v>
      </c>
    </row>
    <row r="243" spans="6:14" x14ac:dyDescent="0.25">
      <c r="F243" s="10">
        <v>709</v>
      </c>
      <c r="G243" s="15">
        <v>634836</v>
      </c>
      <c r="I243" s="10">
        <v>709</v>
      </c>
      <c r="J243" s="13">
        <v>4</v>
      </c>
      <c r="M243" s="10">
        <v>709</v>
      </c>
      <c r="N243" s="16">
        <v>4.5454545454545456E-2</v>
      </c>
    </row>
    <row r="244" spans="6:14" x14ac:dyDescent="0.25">
      <c r="F244" s="10">
        <v>714</v>
      </c>
      <c r="G244" s="15">
        <v>914982</v>
      </c>
      <c r="I244" s="10">
        <v>714</v>
      </c>
      <c r="J244" s="13">
        <v>4</v>
      </c>
      <c r="M244" s="10">
        <v>714</v>
      </c>
      <c r="N244" s="16">
        <v>7.246376811594203E-3</v>
      </c>
    </row>
    <row r="245" spans="6:14" x14ac:dyDescent="0.25">
      <c r="F245" s="10">
        <v>715</v>
      </c>
      <c r="G245" s="15">
        <v>676739</v>
      </c>
      <c r="I245" s="10">
        <v>715</v>
      </c>
      <c r="J245" s="13">
        <v>5</v>
      </c>
      <c r="M245" s="10">
        <v>715</v>
      </c>
      <c r="N245" s="16">
        <v>2.7027027027027029E-2</v>
      </c>
    </row>
    <row r="246" spans="6:14" x14ac:dyDescent="0.25">
      <c r="F246" s="10">
        <v>718</v>
      </c>
      <c r="G246" s="15">
        <v>841161</v>
      </c>
      <c r="I246" s="10">
        <v>718</v>
      </c>
      <c r="J246" s="13">
        <v>5</v>
      </c>
      <c r="M246" s="10">
        <v>718</v>
      </c>
      <c r="N246" s="16">
        <v>5.0847457627118647E-2</v>
      </c>
    </row>
    <row r="247" spans="6:14" x14ac:dyDescent="0.25">
      <c r="F247" s="10">
        <v>719</v>
      </c>
      <c r="G247" s="15">
        <v>1494580</v>
      </c>
      <c r="I247" s="10">
        <v>719</v>
      </c>
      <c r="J247" s="13">
        <v>10</v>
      </c>
      <c r="M247" s="10">
        <v>719</v>
      </c>
      <c r="N247" s="16">
        <v>3.4188034188034191E-2</v>
      </c>
    </row>
    <row r="248" spans="6:14" x14ac:dyDescent="0.25">
      <c r="F248" s="10">
        <v>722</v>
      </c>
      <c r="G248" s="15">
        <v>1950424</v>
      </c>
      <c r="I248" s="10">
        <v>722</v>
      </c>
      <c r="J248" s="13">
        <v>5</v>
      </c>
      <c r="M248" s="10">
        <v>722</v>
      </c>
      <c r="N248" s="16">
        <v>4.195804195804196E-2</v>
      </c>
    </row>
    <row r="249" spans="6:14" x14ac:dyDescent="0.25">
      <c r="F249" s="10">
        <v>724</v>
      </c>
      <c r="G249" s="15">
        <v>313404</v>
      </c>
      <c r="I249" s="10">
        <v>724</v>
      </c>
      <c r="J249" s="13">
        <v>3</v>
      </c>
      <c r="M249" s="10">
        <v>724</v>
      </c>
      <c r="N249" s="16">
        <v>3.5714285714285712E-2</v>
      </c>
    </row>
    <row r="250" spans="6:14" x14ac:dyDescent="0.25">
      <c r="F250" s="10">
        <v>727</v>
      </c>
      <c r="G250" s="15">
        <v>2004094</v>
      </c>
      <c r="I250" s="10">
        <v>727</v>
      </c>
      <c r="J250" s="13">
        <v>9</v>
      </c>
      <c r="M250" s="10">
        <v>727</v>
      </c>
      <c r="N250" s="16">
        <v>6.993006993006993E-3</v>
      </c>
    </row>
    <row r="251" spans="6:14" x14ac:dyDescent="0.25">
      <c r="F251" s="10">
        <v>734</v>
      </c>
      <c r="G251" s="15">
        <v>344199</v>
      </c>
      <c r="I251" s="10">
        <v>734</v>
      </c>
      <c r="J251" s="13">
        <v>6</v>
      </c>
      <c r="M251" s="10">
        <v>734</v>
      </c>
      <c r="N251" s="16">
        <v>0</v>
      </c>
    </row>
    <row r="252" spans="6:14" x14ac:dyDescent="0.25">
      <c r="F252" s="10">
        <v>739</v>
      </c>
      <c r="G252" s="15">
        <v>606288</v>
      </c>
      <c r="I252" s="10">
        <v>739</v>
      </c>
      <c r="J252" s="13">
        <v>6</v>
      </c>
      <c r="M252" s="10">
        <v>739</v>
      </c>
      <c r="N252" s="16">
        <v>3.125E-2</v>
      </c>
    </row>
    <row r="253" spans="6:14" x14ac:dyDescent="0.25">
      <c r="F253" s="10">
        <v>742</v>
      </c>
      <c r="G253" s="15">
        <v>628510</v>
      </c>
      <c r="I253" s="10">
        <v>742</v>
      </c>
      <c r="J253" s="13">
        <v>6</v>
      </c>
      <c r="M253" s="10">
        <v>742</v>
      </c>
      <c r="N253" s="16">
        <v>3.125E-2</v>
      </c>
    </row>
    <row r="254" spans="6:14" x14ac:dyDescent="0.25">
      <c r="F254" s="10">
        <v>750</v>
      </c>
      <c r="G254" s="15">
        <v>645320</v>
      </c>
      <c r="I254" s="10">
        <v>750</v>
      </c>
      <c r="J254" s="13">
        <v>3</v>
      </c>
      <c r="M254" s="10">
        <v>750</v>
      </c>
      <c r="N254" s="16">
        <v>4.3478260869565216E-2</v>
      </c>
    </row>
    <row r="255" spans="6:14" x14ac:dyDescent="0.25">
      <c r="F255" s="10">
        <v>751</v>
      </c>
      <c r="G255" s="15">
        <v>2612222</v>
      </c>
      <c r="I255" s="10">
        <v>751</v>
      </c>
      <c r="J255" s="13">
        <v>9</v>
      </c>
      <c r="M255" s="10">
        <v>751</v>
      </c>
      <c r="N255" s="16">
        <v>2.2505857688987541E-2</v>
      </c>
    </row>
    <row r="256" spans="6:14" x14ac:dyDescent="0.25">
      <c r="F256" s="10">
        <v>757</v>
      </c>
      <c r="G256" s="15">
        <v>1211164</v>
      </c>
      <c r="I256" s="10">
        <v>757</v>
      </c>
      <c r="J256" s="13">
        <v>3</v>
      </c>
      <c r="M256" s="10">
        <v>757</v>
      </c>
      <c r="N256" s="16">
        <v>1.4285714285714285E-2</v>
      </c>
    </row>
    <row r="257" spans="6:14" x14ac:dyDescent="0.25">
      <c r="F257" s="10">
        <v>758</v>
      </c>
      <c r="G257" s="15">
        <v>1632242</v>
      </c>
      <c r="I257" s="10">
        <v>758</v>
      </c>
      <c r="J257" s="13">
        <v>6</v>
      </c>
      <c r="M257" s="10">
        <v>758</v>
      </c>
      <c r="N257" s="16">
        <v>2.1897810218978103E-2</v>
      </c>
    </row>
    <row r="258" spans="6:14" x14ac:dyDescent="0.25">
      <c r="F258" s="10">
        <v>768</v>
      </c>
      <c r="G258" s="15">
        <v>952018</v>
      </c>
      <c r="I258" s="10">
        <v>768</v>
      </c>
      <c r="J258" s="13">
        <v>5</v>
      </c>
      <c r="M258" s="10">
        <v>768</v>
      </c>
      <c r="N258" s="16">
        <v>2.3255813953488372E-2</v>
      </c>
    </row>
    <row r="259" spans="6:14" x14ac:dyDescent="0.25">
      <c r="F259" s="10">
        <v>769</v>
      </c>
      <c r="G259" s="15">
        <v>1041581</v>
      </c>
      <c r="I259" s="10">
        <v>769</v>
      </c>
      <c r="J259" s="13">
        <v>7</v>
      </c>
      <c r="M259" s="10">
        <v>769</v>
      </c>
      <c r="N259" s="16">
        <v>0</v>
      </c>
    </row>
    <row r="260" spans="6:14" x14ac:dyDescent="0.25">
      <c r="F260" s="10">
        <v>779</v>
      </c>
      <c r="G260" s="15">
        <v>1055462</v>
      </c>
      <c r="I260" s="10">
        <v>779</v>
      </c>
      <c r="J260" s="13">
        <v>5</v>
      </c>
      <c r="M260" s="10">
        <v>779</v>
      </c>
      <c r="N260" s="16">
        <v>3.1746031746031744E-2</v>
      </c>
    </row>
    <row r="261" spans="6:14" x14ac:dyDescent="0.25">
      <c r="F261" s="10">
        <v>786</v>
      </c>
      <c r="G261" s="15">
        <v>1185008</v>
      </c>
      <c r="I261" s="10">
        <v>786</v>
      </c>
      <c r="J261" s="13">
        <v>11</v>
      </c>
      <c r="M261" s="10">
        <v>786</v>
      </c>
      <c r="N261" s="16">
        <v>7.0422535211267607E-3</v>
      </c>
    </row>
    <row r="262" spans="6:14" x14ac:dyDescent="0.25">
      <c r="F262" s="10">
        <v>792</v>
      </c>
      <c r="G262" s="15">
        <v>1569201</v>
      </c>
      <c r="I262" s="10">
        <v>792</v>
      </c>
      <c r="J262" s="13">
        <v>8</v>
      </c>
      <c r="M262" s="10">
        <v>792</v>
      </c>
      <c r="N262" s="16">
        <v>2.3255813953488372E-2</v>
      </c>
    </row>
    <row r="263" spans="6:14" x14ac:dyDescent="0.25">
      <c r="F263" s="10">
        <v>794</v>
      </c>
      <c r="G263" s="15">
        <v>1333462</v>
      </c>
      <c r="I263" s="10">
        <v>794</v>
      </c>
      <c r="J263" s="13">
        <v>6</v>
      </c>
      <c r="M263" s="10">
        <v>794</v>
      </c>
      <c r="N263" s="16">
        <v>1.1235955056179775E-2</v>
      </c>
    </row>
    <row r="264" spans="6:14" x14ac:dyDescent="0.25">
      <c r="F264" s="10">
        <v>795</v>
      </c>
      <c r="G264" s="15">
        <v>486640</v>
      </c>
      <c r="I264" s="10">
        <v>795</v>
      </c>
      <c r="J264" s="13">
        <v>7</v>
      </c>
      <c r="M264" s="10">
        <v>795</v>
      </c>
      <c r="N264" s="16">
        <v>3.125E-2</v>
      </c>
    </row>
    <row r="265" spans="6:14" x14ac:dyDescent="0.25">
      <c r="F265" s="10">
        <v>796</v>
      </c>
      <c r="G265" s="15">
        <v>2338878</v>
      </c>
      <c r="I265" s="10">
        <v>796</v>
      </c>
      <c r="J265" s="13">
        <v>9</v>
      </c>
      <c r="M265" s="10">
        <v>796</v>
      </c>
      <c r="N265" s="16">
        <v>0</v>
      </c>
    </row>
    <row r="266" spans="6:14" x14ac:dyDescent="0.25">
      <c r="F266" s="10">
        <v>800</v>
      </c>
      <c r="G266" s="15">
        <v>1255865</v>
      </c>
      <c r="I266" s="10">
        <v>800</v>
      </c>
      <c r="J266" s="13">
        <v>11</v>
      </c>
      <c r="M266" s="10">
        <v>800</v>
      </c>
      <c r="N266" s="16">
        <v>3.7974683544303799E-2</v>
      </c>
    </row>
    <row r="267" spans="6:14" x14ac:dyDescent="0.25">
      <c r="F267" s="10">
        <v>801</v>
      </c>
      <c r="G267" s="15">
        <v>1751286</v>
      </c>
      <c r="I267" s="10">
        <v>801</v>
      </c>
      <c r="J267" s="13">
        <v>2</v>
      </c>
      <c r="M267" s="10">
        <v>801</v>
      </c>
      <c r="N267" s="16">
        <v>0</v>
      </c>
    </row>
    <row r="268" spans="6:14" x14ac:dyDescent="0.25">
      <c r="F268" s="10">
        <v>803</v>
      </c>
      <c r="G268" s="15">
        <v>1619242</v>
      </c>
      <c r="I268" s="10">
        <v>803</v>
      </c>
      <c r="J268" s="13">
        <v>5</v>
      </c>
      <c r="M268" s="10">
        <v>803</v>
      </c>
      <c r="N268" s="16">
        <v>1.0309278350515464E-2</v>
      </c>
    </row>
    <row r="269" spans="6:14" x14ac:dyDescent="0.25">
      <c r="F269" s="10">
        <v>805</v>
      </c>
      <c r="G269" s="15">
        <v>2006521</v>
      </c>
      <c r="I269" s="10">
        <v>805</v>
      </c>
      <c r="J269" s="13">
        <v>10</v>
      </c>
      <c r="M269" s="10">
        <v>805</v>
      </c>
      <c r="N269" s="16">
        <v>2.4590163934426229E-2</v>
      </c>
    </row>
    <row r="270" spans="6:14" x14ac:dyDescent="0.25">
      <c r="F270" s="10">
        <v>807</v>
      </c>
      <c r="G270" s="15">
        <v>811199</v>
      </c>
      <c r="I270" s="10">
        <v>807</v>
      </c>
      <c r="J270" s="13">
        <v>3</v>
      </c>
      <c r="M270" s="10">
        <v>807</v>
      </c>
      <c r="N270" s="16">
        <v>0</v>
      </c>
    </row>
    <row r="271" spans="6:14" x14ac:dyDescent="0.25">
      <c r="F271" s="10">
        <v>813</v>
      </c>
      <c r="G271" s="15">
        <v>3015794</v>
      </c>
      <c r="I271" s="10">
        <v>813</v>
      </c>
      <c r="J271" s="13">
        <v>15</v>
      </c>
      <c r="M271" s="10">
        <v>813</v>
      </c>
      <c r="N271" s="16">
        <v>3.2981875217845937E-2</v>
      </c>
    </row>
    <row r="272" spans="6:14" x14ac:dyDescent="0.25">
      <c r="F272" s="10">
        <v>814</v>
      </c>
      <c r="G272" s="15">
        <v>2278202</v>
      </c>
      <c r="I272" s="10">
        <v>814</v>
      </c>
      <c r="J272" s="13">
        <v>9</v>
      </c>
      <c r="M272" s="10">
        <v>814</v>
      </c>
      <c r="N272" s="16">
        <v>1.6949152542372881E-2</v>
      </c>
    </row>
    <row r="273" spans="6:14" x14ac:dyDescent="0.25">
      <c r="F273" s="10">
        <v>819</v>
      </c>
      <c r="G273" s="15">
        <v>1293438</v>
      </c>
      <c r="I273" s="10">
        <v>819</v>
      </c>
      <c r="J273" s="13">
        <v>4</v>
      </c>
      <c r="M273" s="10">
        <v>819</v>
      </c>
      <c r="N273" s="16">
        <v>2.1276595744680851E-2</v>
      </c>
    </row>
    <row r="274" spans="6:14" x14ac:dyDescent="0.25">
      <c r="F274" s="10">
        <v>828</v>
      </c>
      <c r="G274" s="15">
        <v>2167547</v>
      </c>
      <c r="I274" s="10">
        <v>828</v>
      </c>
      <c r="J274" s="13">
        <v>23</v>
      </c>
      <c r="M274" s="10">
        <v>828</v>
      </c>
      <c r="N274" s="16">
        <v>1.1029411764705883E-2</v>
      </c>
    </row>
    <row r="275" spans="6:14" x14ac:dyDescent="0.25">
      <c r="F275" s="10">
        <v>834</v>
      </c>
      <c r="G275" s="15">
        <v>1994642</v>
      </c>
      <c r="I275" s="10">
        <v>834</v>
      </c>
      <c r="J275" s="13">
        <v>15</v>
      </c>
      <c r="M275" s="10">
        <v>834</v>
      </c>
      <c r="N275" s="16">
        <v>7.3529411764705881E-3</v>
      </c>
    </row>
    <row r="276" spans="6:14" x14ac:dyDescent="0.25">
      <c r="F276" s="10">
        <v>835</v>
      </c>
      <c r="G276" s="15">
        <v>1456230</v>
      </c>
      <c r="I276" s="10">
        <v>835</v>
      </c>
      <c r="J276" s="13">
        <v>3</v>
      </c>
      <c r="M276" s="10">
        <v>835</v>
      </c>
      <c r="N276" s="16">
        <v>1.7857142857142856E-2</v>
      </c>
    </row>
    <row r="277" spans="6:14" x14ac:dyDescent="0.25">
      <c r="F277" s="10">
        <v>839</v>
      </c>
      <c r="G277" s="15">
        <v>1002672</v>
      </c>
      <c r="I277" s="10">
        <v>839</v>
      </c>
      <c r="J277" s="13">
        <v>6</v>
      </c>
      <c r="M277" s="10">
        <v>839</v>
      </c>
      <c r="N277" s="16">
        <v>1.5384615384615385E-2</v>
      </c>
    </row>
    <row r="278" spans="6:14" x14ac:dyDescent="0.25">
      <c r="F278" s="10">
        <v>842</v>
      </c>
      <c r="G278" s="15">
        <v>1424990</v>
      </c>
      <c r="I278" s="10">
        <v>842</v>
      </c>
      <c r="J278" s="13">
        <v>8</v>
      </c>
      <c r="M278" s="10">
        <v>842</v>
      </c>
      <c r="N278" s="16">
        <v>1.0869565217391304E-2</v>
      </c>
    </row>
    <row r="279" spans="6:14" x14ac:dyDescent="0.25">
      <c r="F279" s="10">
        <v>843</v>
      </c>
      <c r="G279" s="15">
        <v>2580344</v>
      </c>
      <c r="I279" s="10">
        <v>843</v>
      </c>
      <c r="J279" s="13">
        <v>12</v>
      </c>
      <c r="M279" s="10">
        <v>843</v>
      </c>
      <c r="N279" s="16">
        <v>3.7006802721088437E-2</v>
      </c>
    </row>
    <row r="280" spans="6:14" x14ac:dyDescent="0.25">
      <c r="F280" s="10">
        <v>845</v>
      </c>
      <c r="G280" s="15">
        <v>831594</v>
      </c>
      <c r="I280" s="10">
        <v>845</v>
      </c>
      <c r="J280" s="13">
        <v>7</v>
      </c>
      <c r="M280" s="10">
        <v>845</v>
      </c>
      <c r="N280" s="16">
        <v>2.8037383177570093E-2</v>
      </c>
    </row>
    <row r="281" spans="6:14" x14ac:dyDescent="0.25">
      <c r="F281" s="10">
        <v>846</v>
      </c>
      <c r="G281" s="15">
        <v>1078056</v>
      </c>
      <c r="I281" s="10">
        <v>846</v>
      </c>
      <c r="J281" s="13">
        <v>5</v>
      </c>
      <c r="M281" s="10">
        <v>846</v>
      </c>
      <c r="N281" s="16">
        <v>3.7313432835820892E-2</v>
      </c>
    </row>
    <row r="282" spans="6:14" x14ac:dyDescent="0.25">
      <c r="F282" s="10">
        <v>848</v>
      </c>
      <c r="G282" s="15">
        <v>1247312</v>
      </c>
      <c r="I282" s="10">
        <v>848</v>
      </c>
      <c r="J282" s="13">
        <v>3</v>
      </c>
      <c r="M282" s="10">
        <v>848</v>
      </c>
      <c r="N282" s="16">
        <v>3.2258064516129031E-2</v>
      </c>
    </row>
    <row r="283" spans="6:14" x14ac:dyDescent="0.25">
      <c r="F283" s="10" t="s">
        <v>377</v>
      </c>
      <c r="G283" s="15">
        <v>295604216</v>
      </c>
      <c r="I283" s="10" t="s">
        <v>377</v>
      </c>
      <c r="J283" s="13">
        <v>1574</v>
      </c>
      <c r="M283" s="10" t="s">
        <v>377</v>
      </c>
      <c r="N283" s="16">
        <v>1.8916371958115824E-2</v>
      </c>
    </row>
    <row r="286" spans="6:14" x14ac:dyDescent="0.25">
      <c r="I286" cm="1">
        <f t="array" ref="I286:J524">I44:J282</f>
        <v>25</v>
      </c>
      <c r="J286">
        <v>3</v>
      </c>
      <c r="M286" cm="1">
        <f t="array" ref="M286:N524">M44:N282</f>
        <v>25</v>
      </c>
      <c r="N286" s="18">
        <v>2.6315789473684209E-2</v>
      </c>
    </row>
    <row r="287" spans="6:14" x14ac:dyDescent="0.25">
      <c r="I287">
        <v>26</v>
      </c>
      <c r="J287">
        <v>4</v>
      </c>
      <c r="M287">
        <v>26</v>
      </c>
      <c r="N287" s="18">
        <v>1.3333333333333334E-2</v>
      </c>
    </row>
    <row r="288" spans="6:14" x14ac:dyDescent="0.25">
      <c r="I288">
        <v>28</v>
      </c>
      <c r="J288">
        <v>8</v>
      </c>
      <c r="M288">
        <v>28</v>
      </c>
      <c r="N288" s="18">
        <v>0</v>
      </c>
    </row>
    <row r="289" spans="6:14" x14ac:dyDescent="0.25">
      <c r="F289" cm="1">
        <f t="array" ref="F289:G527">F44:G282</f>
        <v>25</v>
      </c>
      <c r="G289" s="15">
        <v>1066770</v>
      </c>
      <c r="I289">
        <v>31</v>
      </c>
      <c r="J289">
        <v>3</v>
      </c>
      <c r="M289">
        <v>31</v>
      </c>
      <c r="N289" s="18">
        <v>2.7777777777777776E-2</v>
      </c>
    </row>
    <row r="290" spans="6:14" x14ac:dyDescent="0.25">
      <c r="F290">
        <v>26</v>
      </c>
      <c r="G290" s="15">
        <v>1699264</v>
      </c>
      <c r="I290">
        <v>32</v>
      </c>
      <c r="J290">
        <v>9</v>
      </c>
      <c r="M290">
        <v>32</v>
      </c>
      <c r="N290" s="18">
        <v>1.4492753623188406E-2</v>
      </c>
    </row>
    <row r="291" spans="6:14" x14ac:dyDescent="0.25">
      <c r="F291">
        <v>28</v>
      </c>
      <c r="G291" s="15">
        <v>150612</v>
      </c>
      <c r="I291">
        <v>35</v>
      </c>
      <c r="J291">
        <v>6</v>
      </c>
      <c r="M291">
        <v>35</v>
      </c>
      <c r="N291" s="18">
        <v>1.3157894736842105E-2</v>
      </c>
    </row>
    <row r="292" spans="6:14" x14ac:dyDescent="0.25">
      <c r="F292">
        <v>31</v>
      </c>
      <c r="G292" s="15">
        <v>391618</v>
      </c>
      <c r="I292">
        <v>36</v>
      </c>
      <c r="J292">
        <v>7</v>
      </c>
      <c r="M292">
        <v>36</v>
      </c>
      <c r="N292" s="18">
        <v>0</v>
      </c>
    </row>
    <row r="293" spans="6:14" x14ac:dyDescent="0.25">
      <c r="F293">
        <v>32</v>
      </c>
      <c r="G293" s="15">
        <v>841536</v>
      </c>
      <c r="I293">
        <v>37</v>
      </c>
      <c r="J293">
        <v>5</v>
      </c>
      <c r="M293">
        <v>37</v>
      </c>
      <c r="N293" s="18">
        <v>1.5503875968992248E-2</v>
      </c>
    </row>
    <row r="294" spans="6:14" x14ac:dyDescent="0.25">
      <c r="F294">
        <v>35</v>
      </c>
      <c r="G294" s="15">
        <v>1637052</v>
      </c>
      <c r="I294">
        <v>38</v>
      </c>
      <c r="J294">
        <v>5</v>
      </c>
      <c r="M294">
        <v>38</v>
      </c>
      <c r="N294" s="18">
        <v>1.6949152542372881E-2</v>
      </c>
    </row>
    <row r="295" spans="6:14" x14ac:dyDescent="0.25">
      <c r="F295">
        <v>36</v>
      </c>
      <c r="G295" s="15">
        <v>306135</v>
      </c>
      <c r="I295">
        <v>42</v>
      </c>
      <c r="J295">
        <v>1</v>
      </c>
      <c r="M295">
        <v>42</v>
      </c>
      <c r="N295" s="18">
        <v>0</v>
      </c>
    </row>
    <row r="296" spans="6:14" x14ac:dyDescent="0.25">
      <c r="F296">
        <v>37</v>
      </c>
      <c r="G296" s="15">
        <v>1122649</v>
      </c>
      <c r="I296">
        <v>45</v>
      </c>
      <c r="J296">
        <v>5</v>
      </c>
      <c r="M296">
        <v>45</v>
      </c>
      <c r="N296" s="18">
        <v>1.6129032258064516E-2</v>
      </c>
    </row>
    <row r="297" spans="6:14" x14ac:dyDescent="0.25">
      <c r="F297">
        <v>38</v>
      </c>
      <c r="G297" s="15">
        <v>1324060</v>
      </c>
      <c r="I297">
        <v>46</v>
      </c>
      <c r="J297">
        <v>8</v>
      </c>
      <c r="M297">
        <v>46</v>
      </c>
      <c r="N297" s="18">
        <v>1.1363636363636364E-2</v>
      </c>
    </row>
    <row r="298" spans="6:14" x14ac:dyDescent="0.25">
      <c r="F298">
        <v>42</v>
      </c>
      <c r="G298" s="15">
        <v>130698</v>
      </c>
      <c r="I298">
        <v>49</v>
      </c>
      <c r="J298">
        <v>3</v>
      </c>
      <c r="M298">
        <v>49</v>
      </c>
      <c r="N298" s="18">
        <v>2.9166666666666667E-2</v>
      </c>
    </row>
    <row r="299" spans="6:14" x14ac:dyDescent="0.25">
      <c r="F299">
        <v>45</v>
      </c>
      <c r="G299" s="15">
        <v>523055</v>
      </c>
      <c r="I299">
        <v>50</v>
      </c>
      <c r="J299">
        <v>8</v>
      </c>
      <c r="M299">
        <v>50</v>
      </c>
      <c r="N299" s="18">
        <v>3.125E-2</v>
      </c>
    </row>
    <row r="300" spans="6:14" x14ac:dyDescent="0.25">
      <c r="F300">
        <v>46</v>
      </c>
      <c r="G300" s="15">
        <v>909728</v>
      </c>
      <c r="I300">
        <v>54</v>
      </c>
      <c r="J300">
        <v>2</v>
      </c>
      <c r="M300">
        <v>54</v>
      </c>
      <c r="N300" s="18">
        <v>7.9365079365079361E-3</v>
      </c>
    </row>
    <row r="301" spans="6:14" x14ac:dyDescent="0.25">
      <c r="F301">
        <v>49</v>
      </c>
      <c r="G301" s="15">
        <v>960862</v>
      </c>
      <c r="I301">
        <v>59</v>
      </c>
      <c r="J301">
        <v>6</v>
      </c>
      <c r="M301">
        <v>59</v>
      </c>
      <c r="N301" s="18">
        <v>3.2520325203252036E-2</v>
      </c>
    </row>
    <row r="302" spans="6:14" x14ac:dyDescent="0.25">
      <c r="F302">
        <v>50</v>
      </c>
      <c r="G302" s="15">
        <v>333032</v>
      </c>
      <c r="I302">
        <v>60</v>
      </c>
      <c r="J302">
        <v>6</v>
      </c>
      <c r="M302">
        <v>60</v>
      </c>
      <c r="N302" s="18">
        <v>0</v>
      </c>
    </row>
    <row r="303" spans="6:14" x14ac:dyDescent="0.25">
      <c r="F303">
        <v>54</v>
      </c>
      <c r="G303" s="15">
        <v>1005336</v>
      </c>
      <c r="I303">
        <v>67</v>
      </c>
      <c r="J303">
        <v>10</v>
      </c>
      <c r="M303">
        <v>67</v>
      </c>
      <c r="N303" s="18">
        <v>3.1810294968189705E-2</v>
      </c>
    </row>
    <row r="304" spans="6:14" x14ac:dyDescent="0.25">
      <c r="F304">
        <v>59</v>
      </c>
      <c r="G304" s="15">
        <v>1104785</v>
      </c>
      <c r="I304">
        <v>72</v>
      </c>
      <c r="J304">
        <v>6</v>
      </c>
      <c r="M304">
        <v>72</v>
      </c>
      <c r="N304" s="18">
        <v>2.7027027027027029E-2</v>
      </c>
    </row>
    <row r="305" spans="6:14" x14ac:dyDescent="0.25">
      <c r="F305">
        <v>60</v>
      </c>
      <c r="G305" s="15">
        <v>864802</v>
      </c>
      <c r="I305">
        <v>77</v>
      </c>
      <c r="J305">
        <v>8</v>
      </c>
      <c r="M305">
        <v>77</v>
      </c>
      <c r="N305" s="18">
        <v>0</v>
      </c>
    </row>
    <row r="306" spans="6:14" x14ac:dyDescent="0.25">
      <c r="F306">
        <v>67</v>
      </c>
      <c r="G306" s="15">
        <v>1033311</v>
      </c>
      <c r="I306">
        <v>78</v>
      </c>
      <c r="J306">
        <v>4</v>
      </c>
      <c r="M306">
        <v>78</v>
      </c>
      <c r="N306" s="18">
        <v>0</v>
      </c>
    </row>
    <row r="307" spans="6:14" x14ac:dyDescent="0.25">
      <c r="F307">
        <v>72</v>
      </c>
      <c r="G307" s="15">
        <v>272490</v>
      </c>
      <c r="I307">
        <v>79</v>
      </c>
      <c r="J307">
        <v>5</v>
      </c>
      <c r="M307">
        <v>79</v>
      </c>
      <c r="N307" s="18">
        <v>0</v>
      </c>
    </row>
    <row r="308" spans="6:14" x14ac:dyDescent="0.25">
      <c r="F308">
        <v>77</v>
      </c>
      <c r="G308" s="15">
        <v>1122548</v>
      </c>
      <c r="I308">
        <v>83</v>
      </c>
      <c r="J308">
        <v>10</v>
      </c>
      <c r="M308">
        <v>83</v>
      </c>
      <c r="N308" s="18">
        <v>2.2487593052109182E-2</v>
      </c>
    </row>
    <row r="309" spans="6:14" x14ac:dyDescent="0.25">
      <c r="F309">
        <v>78</v>
      </c>
      <c r="G309" s="15">
        <v>1391906</v>
      </c>
      <c r="I309">
        <v>90</v>
      </c>
      <c r="J309">
        <v>6</v>
      </c>
      <c r="M309">
        <v>90</v>
      </c>
      <c r="N309" s="18">
        <v>8.1967213114754103E-3</v>
      </c>
    </row>
    <row r="310" spans="6:14" x14ac:dyDescent="0.25">
      <c r="F310">
        <v>79</v>
      </c>
      <c r="G310" s="15">
        <v>172576</v>
      </c>
      <c r="I310">
        <v>91</v>
      </c>
      <c r="J310">
        <v>6</v>
      </c>
      <c r="M310">
        <v>91</v>
      </c>
      <c r="N310" s="18">
        <v>1.4492753623188406E-2</v>
      </c>
    </row>
    <row r="311" spans="6:14" x14ac:dyDescent="0.25">
      <c r="F311">
        <v>83</v>
      </c>
      <c r="G311" s="15">
        <v>2369165</v>
      </c>
      <c r="I311">
        <v>97</v>
      </c>
      <c r="J311">
        <v>6</v>
      </c>
      <c r="M311">
        <v>97</v>
      </c>
      <c r="N311" s="18">
        <v>2.0408163265306121E-2</v>
      </c>
    </row>
    <row r="312" spans="6:14" x14ac:dyDescent="0.25">
      <c r="F312">
        <v>90</v>
      </c>
      <c r="G312" s="15">
        <v>1205923</v>
      </c>
      <c r="I312">
        <v>98</v>
      </c>
      <c r="J312">
        <v>5</v>
      </c>
      <c r="M312">
        <v>98</v>
      </c>
      <c r="N312" s="18">
        <v>1.9607843137254902E-2</v>
      </c>
    </row>
    <row r="313" spans="6:14" x14ac:dyDescent="0.25">
      <c r="F313">
        <v>91</v>
      </c>
      <c r="G313" s="15">
        <v>1702836</v>
      </c>
      <c r="I313">
        <v>99</v>
      </c>
      <c r="J313">
        <v>3</v>
      </c>
      <c r="M313">
        <v>99</v>
      </c>
      <c r="N313" s="18">
        <v>2.8301886792452831E-2</v>
      </c>
    </row>
    <row r="314" spans="6:14" x14ac:dyDescent="0.25">
      <c r="F314">
        <v>97</v>
      </c>
      <c r="G314" s="15">
        <v>599019</v>
      </c>
      <c r="I314">
        <v>100</v>
      </c>
      <c r="J314">
        <v>4</v>
      </c>
      <c r="M314">
        <v>100</v>
      </c>
      <c r="N314" s="18">
        <v>2.8985507246376812E-2</v>
      </c>
    </row>
    <row r="315" spans="6:14" x14ac:dyDescent="0.25">
      <c r="F315">
        <v>98</v>
      </c>
      <c r="G315" s="15">
        <v>2089615</v>
      </c>
      <c r="I315">
        <v>103</v>
      </c>
      <c r="J315">
        <v>3</v>
      </c>
      <c r="M315">
        <v>103</v>
      </c>
      <c r="N315" s="18">
        <v>3.4482758620689655E-2</v>
      </c>
    </row>
    <row r="316" spans="6:14" x14ac:dyDescent="0.25">
      <c r="F316">
        <v>99</v>
      </c>
      <c r="G316" s="15">
        <v>862035</v>
      </c>
      <c r="I316">
        <v>115</v>
      </c>
      <c r="J316">
        <v>4</v>
      </c>
      <c r="M316">
        <v>115</v>
      </c>
      <c r="N316" s="18">
        <v>2.9411764705882353E-2</v>
      </c>
    </row>
    <row r="317" spans="6:14" x14ac:dyDescent="0.25">
      <c r="F317">
        <v>100</v>
      </c>
      <c r="G317" s="15">
        <v>671314</v>
      </c>
      <c r="I317">
        <v>117</v>
      </c>
      <c r="J317">
        <v>3</v>
      </c>
      <c r="M317">
        <v>117</v>
      </c>
      <c r="N317" s="18">
        <v>1.1111111111111112E-2</v>
      </c>
    </row>
    <row r="318" spans="6:14" x14ac:dyDescent="0.25">
      <c r="F318">
        <v>103</v>
      </c>
      <c r="G318" s="15">
        <v>404439</v>
      </c>
      <c r="I318">
        <v>123</v>
      </c>
      <c r="J318">
        <v>5</v>
      </c>
      <c r="M318">
        <v>123</v>
      </c>
      <c r="N318" s="18">
        <v>4.7619047619047616E-2</v>
      </c>
    </row>
    <row r="319" spans="6:14" x14ac:dyDescent="0.25">
      <c r="F319">
        <v>115</v>
      </c>
      <c r="G319" s="15">
        <v>441365</v>
      </c>
      <c r="I319">
        <v>128</v>
      </c>
      <c r="J319">
        <v>13</v>
      </c>
      <c r="M319">
        <v>128</v>
      </c>
      <c r="N319" s="18">
        <v>1.4314768460575718E-2</v>
      </c>
    </row>
    <row r="320" spans="6:14" x14ac:dyDescent="0.25">
      <c r="F320">
        <v>117</v>
      </c>
      <c r="G320" s="15">
        <v>1172511</v>
      </c>
      <c r="I320">
        <v>129</v>
      </c>
      <c r="J320">
        <v>10</v>
      </c>
      <c r="M320">
        <v>129</v>
      </c>
      <c r="N320" s="18">
        <v>2.564102564102564E-2</v>
      </c>
    </row>
    <row r="321" spans="6:14" x14ac:dyDescent="0.25">
      <c r="F321">
        <v>123</v>
      </c>
      <c r="G321" s="15">
        <v>234936</v>
      </c>
      <c r="I321">
        <v>132</v>
      </c>
      <c r="J321">
        <v>1</v>
      </c>
      <c r="M321">
        <v>132</v>
      </c>
      <c r="N321" s="18">
        <v>4.6052631578947366E-2</v>
      </c>
    </row>
    <row r="322" spans="6:14" x14ac:dyDescent="0.25">
      <c r="F322">
        <v>128</v>
      </c>
      <c r="G322" s="15">
        <v>2662880</v>
      </c>
      <c r="I322">
        <v>133</v>
      </c>
      <c r="J322">
        <v>15</v>
      </c>
      <c r="M322">
        <v>133</v>
      </c>
      <c r="N322" s="18">
        <v>3.0303030303030304E-2</v>
      </c>
    </row>
    <row r="323" spans="6:14" x14ac:dyDescent="0.25">
      <c r="F323">
        <v>129</v>
      </c>
      <c r="G323" s="15">
        <v>563073</v>
      </c>
      <c r="I323">
        <v>135</v>
      </c>
      <c r="J323">
        <v>4</v>
      </c>
      <c r="M323">
        <v>135</v>
      </c>
      <c r="N323" s="18">
        <v>0</v>
      </c>
    </row>
    <row r="324" spans="6:14" x14ac:dyDescent="0.25">
      <c r="F324">
        <v>132</v>
      </c>
      <c r="G324" s="15">
        <v>1292320</v>
      </c>
      <c r="I324">
        <v>137</v>
      </c>
      <c r="J324">
        <v>2</v>
      </c>
      <c r="M324">
        <v>137</v>
      </c>
      <c r="N324" s="18">
        <v>2.5157232704402517E-2</v>
      </c>
    </row>
    <row r="325" spans="6:14" x14ac:dyDescent="0.25">
      <c r="F325">
        <v>133</v>
      </c>
      <c r="G325" s="15">
        <v>475160</v>
      </c>
      <c r="I325">
        <v>140</v>
      </c>
      <c r="J325">
        <v>8</v>
      </c>
      <c r="M325">
        <v>140</v>
      </c>
      <c r="N325" s="18">
        <v>3.7037037037037035E-2</v>
      </c>
    </row>
    <row r="326" spans="6:14" x14ac:dyDescent="0.25">
      <c r="F326">
        <v>135</v>
      </c>
      <c r="G326" s="15">
        <v>666440</v>
      </c>
      <c r="I326">
        <v>142</v>
      </c>
      <c r="J326">
        <v>13</v>
      </c>
      <c r="M326">
        <v>142</v>
      </c>
      <c r="N326" s="18">
        <v>1.3904871499808208E-2</v>
      </c>
    </row>
    <row r="327" spans="6:14" x14ac:dyDescent="0.25">
      <c r="F327">
        <v>137</v>
      </c>
      <c r="G327" s="15">
        <v>1113409</v>
      </c>
      <c r="I327">
        <v>144</v>
      </c>
      <c r="J327">
        <v>5</v>
      </c>
      <c r="M327">
        <v>144</v>
      </c>
      <c r="N327" s="18">
        <v>2.7397260273972601E-2</v>
      </c>
    </row>
    <row r="328" spans="6:14" x14ac:dyDescent="0.25">
      <c r="F328">
        <v>140</v>
      </c>
      <c r="G328" s="15">
        <v>1076673</v>
      </c>
      <c r="I328">
        <v>148</v>
      </c>
      <c r="J328">
        <v>3</v>
      </c>
      <c r="M328">
        <v>148</v>
      </c>
      <c r="N328" s="18">
        <v>1.9736842105263157E-2</v>
      </c>
    </row>
    <row r="329" spans="6:14" x14ac:dyDescent="0.25">
      <c r="F329">
        <v>142</v>
      </c>
      <c r="G329" s="15">
        <v>3076301</v>
      </c>
      <c r="I329">
        <v>149</v>
      </c>
      <c r="J329">
        <v>6</v>
      </c>
      <c r="M329">
        <v>149</v>
      </c>
      <c r="N329" s="18">
        <v>3.3707865168539325E-2</v>
      </c>
    </row>
    <row r="330" spans="6:14" x14ac:dyDescent="0.25">
      <c r="F330">
        <v>144</v>
      </c>
      <c r="G330" s="15">
        <v>877602</v>
      </c>
      <c r="I330">
        <v>150</v>
      </c>
      <c r="J330">
        <v>2</v>
      </c>
      <c r="M330">
        <v>150</v>
      </c>
      <c r="N330" s="18">
        <v>0</v>
      </c>
    </row>
    <row r="331" spans="6:14" x14ac:dyDescent="0.25">
      <c r="F331">
        <v>148</v>
      </c>
      <c r="G331" s="15">
        <v>1676496</v>
      </c>
      <c r="I331">
        <v>152</v>
      </c>
      <c r="J331">
        <v>2</v>
      </c>
      <c r="M331">
        <v>152</v>
      </c>
      <c r="N331" s="18">
        <v>2.8169014084507043E-2</v>
      </c>
    </row>
    <row r="332" spans="6:14" x14ac:dyDescent="0.25">
      <c r="F332">
        <v>149</v>
      </c>
      <c r="G332" s="15">
        <v>437753</v>
      </c>
      <c r="I332">
        <v>153</v>
      </c>
      <c r="J332">
        <v>6</v>
      </c>
      <c r="M332">
        <v>153</v>
      </c>
      <c r="N332" s="18">
        <v>0</v>
      </c>
    </row>
    <row r="333" spans="6:14" x14ac:dyDescent="0.25">
      <c r="F333">
        <v>150</v>
      </c>
      <c r="G333" s="15">
        <v>156724</v>
      </c>
      <c r="I333">
        <v>159</v>
      </c>
      <c r="J333">
        <v>2</v>
      </c>
      <c r="M333">
        <v>159</v>
      </c>
      <c r="N333" s="18">
        <v>7.1428571428571426E-3</v>
      </c>
    </row>
    <row r="334" spans="6:14" x14ac:dyDescent="0.25">
      <c r="F334">
        <v>152</v>
      </c>
      <c r="G334" s="15">
        <v>504980</v>
      </c>
      <c r="I334">
        <v>162</v>
      </c>
      <c r="J334">
        <v>13</v>
      </c>
      <c r="M334">
        <v>162</v>
      </c>
      <c r="N334" s="18">
        <v>1.4705882352941176E-2</v>
      </c>
    </row>
    <row r="335" spans="6:14" x14ac:dyDescent="0.25">
      <c r="F335">
        <v>153</v>
      </c>
      <c r="G335" s="15">
        <v>736380</v>
      </c>
      <c r="I335">
        <v>163</v>
      </c>
      <c r="J335">
        <v>13</v>
      </c>
      <c r="M335">
        <v>163</v>
      </c>
      <c r="N335" s="18">
        <v>1.2500000000000001E-2</v>
      </c>
    </row>
    <row r="336" spans="6:14" x14ac:dyDescent="0.25">
      <c r="F336">
        <v>159</v>
      </c>
      <c r="G336" s="15">
        <v>887970</v>
      </c>
      <c r="I336">
        <v>168</v>
      </c>
      <c r="J336">
        <v>6</v>
      </c>
      <c r="M336">
        <v>168</v>
      </c>
      <c r="N336" s="18">
        <v>4.5161290322580643E-2</v>
      </c>
    </row>
    <row r="337" spans="6:14" x14ac:dyDescent="0.25">
      <c r="F337">
        <v>162</v>
      </c>
      <c r="G337" s="15">
        <v>1561572</v>
      </c>
      <c r="I337">
        <v>169</v>
      </c>
      <c r="J337">
        <v>9</v>
      </c>
      <c r="M337">
        <v>169</v>
      </c>
      <c r="N337" s="18">
        <v>8.4745762711864406E-3</v>
      </c>
    </row>
    <row r="338" spans="6:14" x14ac:dyDescent="0.25">
      <c r="F338">
        <v>163</v>
      </c>
      <c r="G338" s="15">
        <v>1334027</v>
      </c>
      <c r="I338">
        <v>170</v>
      </c>
      <c r="J338">
        <v>10</v>
      </c>
      <c r="M338">
        <v>170</v>
      </c>
      <c r="N338" s="18">
        <v>4.6296296296296294E-3</v>
      </c>
    </row>
    <row r="339" spans="6:14" x14ac:dyDescent="0.25">
      <c r="F339">
        <v>168</v>
      </c>
      <c r="G339" s="15">
        <v>905454</v>
      </c>
      <c r="I339">
        <v>171</v>
      </c>
      <c r="J339">
        <v>7</v>
      </c>
      <c r="M339">
        <v>171</v>
      </c>
      <c r="N339" s="18">
        <v>0.03</v>
      </c>
    </row>
    <row r="340" spans="6:14" x14ac:dyDescent="0.25">
      <c r="F340">
        <v>169</v>
      </c>
      <c r="G340" s="15">
        <v>1488355</v>
      </c>
      <c r="I340">
        <v>172</v>
      </c>
      <c r="J340">
        <v>2</v>
      </c>
      <c r="M340">
        <v>172</v>
      </c>
      <c r="N340" s="18">
        <v>1.9867549668874173E-2</v>
      </c>
    </row>
    <row r="341" spans="6:14" x14ac:dyDescent="0.25">
      <c r="F341">
        <v>170</v>
      </c>
      <c r="G341" s="15">
        <v>2586011</v>
      </c>
      <c r="I341">
        <v>177</v>
      </c>
      <c r="J341">
        <v>4</v>
      </c>
      <c r="M341">
        <v>177</v>
      </c>
      <c r="N341" s="18">
        <v>0</v>
      </c>
    </row>
    <row r="342" spans="6:14" x14ac:dyDescent="0.25">
      <c r="F342">
        <v>171</v>
      </c>
      <c r="G342" s="15">
        <v>1299953</v>
      </c>
      <c r="I342">
        <v>183</v>
      </c>
      <c r="J342">
        <v>2</v>
      </c>
      <c r="M342">
        <v>183</v>
      </c>
      <c r="N342" s="18">
        <v>5.8139534883720929E-2</v>
      </c>
    </row>
    <row r="343" spans="6:14" x14ac:dyDescent="0.25">
      <c r="F343">
        <v>172</v>
      </c>
      <c r="G343" s="15">
        <v>1178917</v>
      </c>
      <c r="I343">
        <v>185</v>
      </c>
      <c r="J343">
        <v>13</v>
      </c>
      <c r="M343">
        <v>185</v>
      </c>
      <c r="N343" s="18">
        <v>1.3333333333333334E-2</v>
      </c>
    </row>
    <row r="344" spans="6:14" x14ac:dyDescent="0.25">
      <c r="F344">
        <v>177</v>
      </c>
      <c r="G344" s="15">
        <v>862824</v>
      </c>
      <c r="I344">
        <v>192</v>
      </c>
      <c r="J344">
        <v>5</v>
      </c>
      <c r="M344">
        <v>192</v>
      </c>
      <c r="N344" s="18">
        <v>2.1739130434782608E-2</v>
      </c>
    </row>
    <row r="345" spans="6:14" x14ac:dyDescent="0.25">
      <c r="F345">
        <v>183</v>
      </c>
      <c r="G345" s="15">
        <v>772785</v>
      </c>
      <c r="I345">
        <v>199</v>
      </c>
      <c r="J345">
        <v>17</v>
      </c>
      <c r="M345">
        <v>199</v>
      </c>
      <c r="N345" s="18">
        <v>7.5783573552962707E-3</v>
      </c>
    </row>
    <row r="346" spans="6:14" x14ac:dyDescent="0.25">
      <c r="F346">
        <v>185</v>
      </c>
      <c r="G346" s="15">
        <v>2847181</v>
      </c>
      <c r="I346">
        <v>202</v>
      </c>
      <c r="J346">
        <v>2</v>
      </c>
      <c r="M346">
        <v>202</v>
      </c>
      <c r="N346" s="18">
        <v>1.5625E-2</v>
      </c>
    </row>
    <row r="347" spans="6:14" x14ac:dyDescent="0.25">
      <c r="F347">
        <v>192</v>
      </c>
      <c r="G347" s="15">
        <v>1013064</v>
      </c>
      <c r="I347">
        <v>207</v>
      </c>
      <c r="J347">
        <v>6</v>
      </c>
      <c r="M347">
        <v>207</v>
      </c>
      <c r="N347" s="18">
        <v>1.020408163265306E-2</v>
      </c>
    </row>
    <row r="348" spans="6:14" x14ac:dyDescent="0.25">
      <c r="F348">
        <v>199</v>
      </c>
      <c r="G348" s="15">
        <v>2365615</v>
      </c>
      <c r="I348">
        <v>210</v>
      </c>
      <c r="J348">
        <v>7</v>
      </c>
      <c r="M348">
        <v>210</v>
      </c>
      <c r="N348" s="18">
        <v>4.2016806722689079E-2</v>
      </c>
    </row>
    <row r="349" spans="6:14" x14ac:dyDescent="0.25">
      <c r="F349">
        <v>202</v>
      </c>
      <c r="G349" s="15">
        <v>397034</v>
      </c>
      <c r="I349">
        <v>217</v>
      </c>
      <c r="J349">
        <v>7</v>
      </c>
      <c r="M349">
        <v>217</v>
      </c>
      <c r="N349" s="18">
        <v>0</v>
      </c>
    </row>
    <row r="350" spans="6:14" x14ac:dyDescent="0.25">
      <c r="F350">
        <v>207</v>
      </c>
      <c r="G350" s="15">
        <v>1122812</v>
      </c>
      <c r="I350">
        <v>220</v>
      </c>
      <c r="J350">
        <v>16</v>
      </c>
      <c r="M350">
        <v>220</v>
      </c>
      <c r="N350" s="18">
        <v>1.3847910916531836E-2</v>
      </c>
    </row>
    <row r="351" spans="6:14" x14ac:dyDescent="0.25">
      <c r="F351">
        <v>210</v>
      </c>
      <c r="G351" s="15">
        <v>1718899</v>
      </c>
      <c r="I351">
        <v>222</v>
      </c>
      <c r="J351">
        <v>9</v>
      </c>
      <c r="M351">
        <v>222</v>
      </c>
      <c r="N351" s="18">
        <v>0</v>
      </c>
    </row>
    <row r="352" spans="6:14" x14ac:dyDescent="0.25">
      <c r="F352">
        <v>217</v>
      </c>
      <c r="G352" s="15">
        <v>1465399</v>
      </c>
      <c r="I352">
        <v>231</v>
      </c>
      <c r="J352">
        <v>8</v>
      </c>
      <c r="M352">
        <v>231</v>
      </c>
      <c r="N352" s="18">
        <v>1.3986013986013986E-2</v>
      </c>
    </row>
    <row r="353" spans="6:14" x14ac:dyDescent="0.25">
      <c r="F353">
        <v>220</v>
      </c>
      <c r="G353" s="15">
        <v>2771644</v>
      </c>
      <c r="I353">
        <v>232</v>
      </c>
      <c r="J353">
        <v>6</v>
      </c>
      <c r="M353">
        <v>232</v>
      </c>
      <c r="N353" s="18">
        <v>1.6949152542372881E-2</v>
      </c>
    </row>
    <row r="354" spans="6:14" x14ac:dyDescent="0.25">
      <c r="F354">
        <v>222</v>
      </c>
      <c r="G354" s="15">
        <v>489347</v>
      </c>
      <c r="I354">
        <v>234</v>
      </c>
      <c r="J354">
        <v>5</v>
      </c>
      <c r="M354">
        <v>234</v>
      </c>
      <c r="N354" s="18">
        <v>0</v>
      </c>
    </row>
    <row r="355" spans="6:14" x14ac:dyDescent="0.25">
      <c r="F355">
        <v>231</v>
      </c>
      <c r="G355" s="15">
        <v>1476695</v>
      </c>
      <c r="I355">
        <v>235</v>
      </c>
      <c r="J355">
        <v>14</v>
      </c>
      <c r="M355">
        <v>235</v>
      </c>
      <c r="N355" s="18">
        <v>3.4013605442176874E-2</v>
      </c>
    </row>
    <row r="356" spans="6:14" x14ac:dyDescent="0.25">
      <c r="F356">
        <v>232</v>
      </c>
      <c r="G356" s="15">
        <v>560775</v>
      </c>
      <c r="I356">
        <v>240</v>
      </c>
      <c r="J356">
        <v>5</v>
      </c>
      <c r="M356">
        <v>240</v>
      </c>
      <c r="N356" s="18">
        <v>8.8495575221238937E-3</v>
      </c>
    </row>
    <row r="357" spans="6:14" x14ac:dyDescent="0.25">
      <c r="F357">
        <v>234</v>
      </c>
      <c r="G357" s="15">
        <v>280762</v>
      </c>
      <c r="I357">
        <v>241</v>
      </c>
      <c r="J357">
        <v>14</v>
      </c>
      <c r="M357">
        <v>241</v>
      </c>
      <c r="N357" s="18">
        <v>2.2630992196209589E-2</v>
      </c>
    </row>
    <row r="358" spans="6:14" x14ac:dyDescent="0.25">
      <c r="F358">
        <v>235</v>
      </c>
      <c r="G358" s="15">
        <v>1513065</v>
      </c>
      <c r="I358">
        <v>242</v>
      </c>
      <c r="J358">
        <v>19</v>
      </c>
      <c r="M358">
        <v>242</v>
      </c>
      <c r="N358" s="18">
        <v>1.0135135135135136E-2</v>
      </c>
    </row>
    <row r="359" spans="6:14" x14ac:dyDescent="0.25">
      <c r="F359">
        <v>240</v>
      </c>
      <c r="G359" s="15">
        <v>1436379</v>
      </c>
      <c r="I359">
        <v>246</v>
      </c>
      <c r="J359">
        <v>5</v>
      </c>
      <c r="M359">
        <v>246</v>
      </c>
      <c r="N359" s="18">
        <v>0</v>
      </c>
    </row>
    <row r="360" spans="6:14" x14ac:dyDescent="0.25">
      <c r="F360">
        <v>241</v>
      </c>
      <c r="G360" s="15">
        <v>2696413</v>
      </c>
      <c r="I360">
        <v>247</v>
      </c>
      <c r="J360">
        <v>6</v>
      </c>
      <c r="M360">
        <v>247</v>
      </c>
      <c r="N360" s="18">
        <v>2.8037383177570093E-2</v>
      </c>
    </row>
    <row r="361" spans="6:14" x14ac:dyDescent="0.25">
      <c r="F361">
        <v>242</v>
      </c>
      <c r="G361" s="15">
        <v>1928704</v>
      </c>
      <c r="I361">
        <v>257</v>
      </c>
      <c r="J361">
        <v>7</v>
      </c>
      <c r="M361">
        <v>257</v>
      </c>
      <c r="N361" s="18">
        <v>6.25E-2</v>
      </c>
    </row>
    <row r="362" spans="6:14" x14ac:dyDescent="0.25">
      <c r="F362">
        <v>246</v>
      </c>
      <c r="G362" s="15">
        <v>457150</v>
      </c>
      <c r="I362">
        <v>258</v>
      </c>
      <c r="J362">
        <v>4</v>
      </c>
      <c r="M362">
        <v>258</v>
      </c>
      <c r="N362" s="18">
        <v>1.1111111111111112E-2</v>
      </c>
    </row>
    <row r="363" spans="6:14" x14ac:dyDescent="0.25">
      <c r="F363">
        <v>247</v>
      </c>
      <c r="G363" s="15">
        <v>1558947</v>
      </c>
      <c r="I363">
        <v>260</v>
      </c>
      <c r="J363">
        <v>6</v>
      </c>
      <c r="M363">
        <v>260</v>
      </c>
      <c r="N363" s="18">
        <v>4.7619047619047616E-2</v>
      </c>
    </row>
    <row r="364" spans="6:14" x14ac:dyDescent="0.25">
      <c r="F364">
        <v>257</v>
      </c>
      <c r="G364" s="15">
        <v>271738</v>
      </c>
      <c r="I364">
        <v>262</v>
      </c>
      <c r="J364">
        <v>4</v>
      </c>
      <c r="M364">
        <v>262</v>
      </c>
      <c r="N364" s="18">
        <v>1.3605442176870748E-2</v>
      </c>
    </row>
    <row r="365" spans="6:14" x14ac:dyDescent="0.25">
      <c r="F365">
        <v>258</v>
      </c>
      <c r="G365" s="15">
        <v>762864</v>
      </c>
      <c r="I365">
        <v>267</v>
      </c>
      <c r="J365">
        <v>8</v>
      </c>
      <c r="M365">
        <v>267</v>
      </c>
      <c r="N365" s="18">
        <v>2.4793388429752067E-2</v>
      </c>
    </row>
    <row r="366" spans="6:14" x14ac:dyDescent="0.25">
      <c r="F366">
        <v>260</v>
      </c>
      <c r="G366" s="15">
        <v>231895</v>
      </c>
      <c r="I366">
        <v>269</v>
      </c>
      <c r="J366">
        <v>4</v>
      </c>
      <c r="M366">
        <v>269</v>
      </c>
      <c r="N366" s="18">
        <v>1.020408163265306E-2</v>
      </c>
    </row>
    <row r="367" spans="6:14" x14ac:dyDescent="0.25">
      <c r="F367">
        <v>262</v>
      </c>
      <c r="G367" s="15">
        <v>1523339</v>
      </c>
      <c r="I367">
        <v>277</v>
      </c>
      <c r="J367">
        <v>12</v>
      </c>
      <c r="M367">
        <v>277</v>
      </c>
      <c r="N367" s="18">
        <v>1.7241379310344827E-2</v>
      </c>
    </row>
    <row r="368" spans="6:14" x14ac:dyDescent="0.25">
      <c r="F368">
        <v>267</v>
      </c>
      <c r="G368" s="15">
        <v>1113249</v>
      </c>
      <c r="I368">
        <v>278</v>
      </c>
      <c r="J368">
        <v>6</v>
      </c>
      <c r="M368">
        <v>278</v>
      </c>
      <c r="N368" s="18">
        <v>0</v>
      </c>
    </row>
    <row r="369" spans="6:14" x14ac:dyDescent="0.25">
      <c r="F369">
        <v>269</v>
      </c>
      <c r="G369" s="15">
        <v>1797049</v>
      </c>
      <c r="I369">
        <v>280</v>
      </c>
      <c r="J369">
        <v>6</v>
      </c>
      <c r="M369">
        <v>280</v>
      </c>
      <c r="N369" s="18">
        <v>2.1739130434782608E-2</v>
      </c>
    </row>
    <row r="370" spans="6:14" x14ac:dyDescent="0.25">
      <c r="F370">
        <v>277</v>
      </c>
      <c r="G370" s="15">
        <v>863946</v>
      </c>
      <c r="I370">
        <v>283</v>
      </c>
      <c r="J370">
        <v>4</v>
      </c>
      <c r="M370">
        <v>283</v>
      </c>
      <c r="N370" s="18">
        <v>2.4590163934426229E-2</v>
      </c>
    </row>
    <row r="371" spans="6:14" x14ac:dyDescent="0.25">
      <c r="F371">
        <v>278</v>
      </c>
      <c r="G371" s="15">
        <v>538313</v>
      </c>
      <c r="I371">
        <v>285</v>
      </c>
      <c r="J371">
        <v>4</v>
      </c>
      <c r="M371">
        <v>285</v>
      </c>
      <c r="N371" s="18">
        <v>2.0833333333333332E-2</v>
      </c>
    </row>
    <row r="372" spans="6:14" x14ac:dyDescent="0.25">
      <c r="F372">
        <v>280</v>
      </c>
      <c r="G372" s="15">
        <v>994120</v>
      </c>
      <c r="I372">
        <v>287</v>
      </c>
      <c r="J372">
        <v>3</v>
      </c>
      <c r="M372">
        <v>287</v>
      </c>
      <c r="N372" s="18">
        <v>8.4033613445378148E-3</v>
      </c>
    </row>
    <row r="373" spans="6:14" x14ac:dyDescent="0.25">
      <c r="F373">
        <v>283</v>
      </c>
      <c r="G373" s="15">
        <v>1045736</v>
      </c>
      <c r="I373">
        <v>294</v>
      </c>
      <c r="J373">
        <v>1</v>
      </c>
      <c r="M373">
        <v>294</v>
      </c>
      <c r="N373" s="18">
        <v>1.8518518518518517E-2</v>
      </c>
    </row>
    <row r="374" spans="6:14" x14ac:dyDescent="0.25">
      <c r="F374">
        <v>285</v>
      </c>
      <c r="G374" s="15">
        <v>867941</v>
      </c>
      <c r="I374">
        <v>302</v>
      </c>
      <c r="J374">
        <v>3</v>
      </c>
      <c r="M374">
        <v>302</v>
      </c>
      <c r="N374" s="18">
        <v>4.878048780487805E-2</v>
      </c>
    </row>
    <row r="375" spans="6:14" x14ac:dyDescent="0.25">
      <c r="F375">
        <v>287</v>
      </c>
      <c r="G375" s="15">
        <v>1863755</v>
      </c>
      <c r="I375">
        <v>303</v>
      </c>
      <c r="J375">
        <v>5</v>
      </c>
      <c r="M375">
        <v>303</v>
      </c>
      <c r="N375" s="18">
        <v>2.5316455696202531E-2</v>
      </c>
    </row>
    <row r="376" spans="6:14" x14ac:dyDescent="0.25">
      <c r="F376">
        <v>294</v>
      </c>
      <c r="G376" s="15">
        <v>597402</v>
      </c>
      <c r="I376">
        <v>317</v>
      </c>
      <c r="J376">
        <v>9</v>
      </c>
      <c r="M376">
        <v>317</v>
      </c>
      <c r="N376" s="18">
        <v>4.065040650406504E-2</v>
      </c>
    </row>
    <row r="377" spans="6:14" x14ac:dyDescent="0.25">
      <c r="F377">
        <v>302</v>
      </c>
      <c r="G377" s="15">
        <v>625221</v>
      </c>
      <c r="I377">
        <v>318</v>
      </c>
      <c r="J377">
        <v>6</v>
      </c>
      <c r="M377">
        <v>318</v>
      </c>
      <c r="N377" s="18">
        <v>4.3478260869565216E-2</v>
      </c>
    </row>
    <row r="378" spans="6:14" x14ac:dyDescent="0.25">
      <c r="F378">
        <v>303</v>
      </c>
      <c r="G378" s="15">
        <v>1163970</v>
      </c>
      <c r="I378">
        <v>319</v>
      </c>
      <c r="J378">
        <v>6</v>
      </c>
      <c r="M378">
        <v>319</v>
      </c>
      <c r="N378" s="18">
        <v>2.2727272727272728E-2</v>
      </c>
    </row>
    <row r="379" spans="6:14" x14ac:dyDescent="0.25">
      <c r="F379">
        <v>317</v>
      </c>
      <c r="G379" s="15">
        <v>1273243</v>
      </c>
      <c r="I379">
        <v>326</v>
      </c>
      <c r="J379">
        <v>2</v>
      </c>
      <c r="M379">
        <v>326</v>
      </c>
      <c r="N379" s="18">
        <v>2.4793388429752067E-2</v>
      </c>
    </row>
    <row r="380" spans="6:14" x14ac:dyDescent="0.25">
      <c r="F380">
        <v>318</v>
      </c>
      <c r="G380" s="15">
        <v>1175220</v>
      </c>
      <c r="I380">
        <v>329</v>
      </c>
      <c r="J380">
        <v>4</v>
      </c>
      <c r="M380">
        <v>329</v>
      </c>
      <c r="N380" s="18">
        <v>1.1111111111111112E-2</v>
      </c>
    </row>
    <row r="381" spans="6:14" x14ac:dyDescent="0.25">
      <c r="F381">
        <v>319</v>
      </c>
      <c r="G381" s="15">
        <v>608124</v>
      </c>
      <c r="I381">
        <v>330</v>
      </c>
      <c r="J381">
        <v>11</v>
      </c>
      <c r="M381">
        <v>330</v>
      </c>
      <c r="N381" s="18">
        <v>1.73992673992674E-2</v>
      </c>
    </row>
    <row r="382" spans="6:14" x14ac:dyDescent="0.25">
      <c r="F382">
        <v>326</v>
      </c>
      <c r="G382" s="15">
        <v>1629025</v>
      </c>
      <c r="I382">
        <v>338</v>
      </c>
      <c r="J382">
        <v>3</v>
      </c>
      <c r="M382">
        <v>338</v>
      </c>
      <c r="N382" s="18">
        <v>0</v>
      </c>
    </row>
    <row r="383" spans="6:14" x14ac:dyDescent="0.25">
      <c r="F383">
        <v>329</v>
      </c>
      <c r="G383" s="15">
        <v>1401581</v>
      </c>
      <c r="I383">
        <v>346</v>
      </c>
      <c r="J383">
        <v>17</v>
      </c>
      <c r="M383">
        <v>346</v>
      </c>
      <c r="N383" s="18">
        <v>4.6296296296296294E-3</v>
      </c>
    </row>
    <row r="384" spans="6:14" x14ac:dyDescent="0.25">
      <c r="F384">
        <v>330</v>
      </c>
      <c r="G384" s="15">
        <v>1438471</v>
      </c>
      <c r="I384">
        <v>348</v>
      </c>
      <c r="J384">
        <v>6</v>
      </c>
      <c r="M384">
        <v>348</v>
      </c>
      <c r="N384" s="18">
        <v>9.6153846153846159E-3</v>
      </c>
    </row>
    <row r="385" spans="6:14" x14ac:dyDescent="0.25">
      <c r="F385">
        <v>338</v>
      </c>
      <c r="G385" s="15">
        <v>537384</v>
      </c>
      <c r="I385">
        <v>349</v>
      </c>
      <c r="J385">
        <v>6</v>
      </c>
      <c r="M385">
        <v>349</v>
      </c>
      <c r="N385" s="18">
        <v>0</v>
      </c>
    </row>
    <row r="386" spans="6:14" x14ac:dyDescent="0.25">
      <c r="F386">
        <v>346</v>
      </c>
      <c r="G386" s="15">
        <v>1339194</v>
      </c>
      <c r="I386">
        <v>354</v>
      </c>
      <c r="J386">
        <v>2</v>
      </c>
      <c r="M386">
        <v>354</v>
      </c>
      <c r="N386" s="18">
        <v>0</v>
      </c>
    </row>
    <row r="387" spans="6:14" x14ac:dyDescent="0.25">
      <c r="F387">
        <v>348</v>
      </c>
      <c r="G387" s="15">
        <v>1037100</v>
      </c>
      <c r="I387">
        <v>356</v>
      </c>
      <c r="J387">
        <v>2</v>
      </c>
      <c r="M387">
        <v>356</v>
      </c>
      <c r="N387" s="18">
        <v>4.3478260869565216E-2</v>
      </c>
    </row>
    <row r="388" spans="6:14" x14ac:dyDescent="0.25">
      <c r="F388">
        <v>349</v>
      </c>
      <c r="G388" s="15">
        <v>2317217</v>
      </c>
      <c r="I388">
        <v>359</v>
      </c>
      <c r="J388">
        <v>1</v>
      </c>
      <c r="M388">
        <v>359</v>
      </c>
      <c r="N388" s="18">
        <v>4.0816326530612242E-2</v>
      </c>
    </row>
    <row r="389" spans="6:14" x14ac:dyDescent="0.25">
      <c r="F389">
        <v>354</v>
      </c>
      <c r="G389" s="15">
        <v>257866</v>
      </c>
      <c r="I389">
        <v>364</v>
      </c>
      <c r="J389">
        <v>5</v>
      </c>
      <c r="M389">
        <v>364</v>
      </c>
      <c r="N389" s="18">
        <v>8.130081300813009E-3</v>
      </c>
    </row>
    <row r="390" spans="6:14" x14ac:dyDescent="0.25">
      <c r="F390">
        <v>356</v>
      </c>
      <c r="G390" s="15">
        <v>336384</v>
      </c>
      <c r="I390">
        <v>366</v>
      </c>
      <c r="J390">
        <v>7</v>
      </c>
      <c r="M390">
        <v>366</v>
      </c>
      <c r="N390" s="18">
        <v>0</v>
      </c>
    </row>
    <row r="391" spans="6:14" x14ac:dyDescent="0.25">
      <c r="F391">
        <v>359</v>
      </c>
      <c r="G391" s="15">
        <v>460842</v>
      </c>
      <c r="I391">
        <v>373</v>
      </c>
      <c r="J391">
        <v>7</v>
      </c>
      <c r="M391">
        <v>373</v>
      </c>
      <c r="N391" s="18">
        <v>1.5151515151515152E-2</v>
      </c>
    </row>
    <row r="392" spans="6:14" x14ac:dyDescent="0.25">
      <c r="F392">
        <v>364</v>
      </c>
      <c r="G392" s="15">
        <v>1216116</v>
      </c>
      <c r="I392">
        <v>374</v>
      </c>
      <c r="J392">
        <v>3</v>
      </c>
      <c r="M392">
        <v>374</v>
      </c>
      <c r="N392" s="18">
        <v>0</v>
      </c>
    </row>
    <row r="393" spans="6:14" x14ac:dyDescent="0.25">
      <c r="F393">
        <v>366</v>
      </c>
      <c r="G393" s="15">
        <v>1304912</v>
      </c>
      <c r="I393">
        <v>378</v>
      </c>
      <c r="J393">
        <v>7</v>
      </c>
      <c r="M393">
        <v>378</v>
      </c>
      <c r="N393" s="18">
        <v>3.1007751937984496E-2</v>
      </c>
    </row>
    <row r="394" spans="6:14" x14ac:dyDescent="0.25">
      <c r="F394">
        <v>373</v>
      </c>
      <c r="G394" s="15">
        <v>564647</v>
      </c>
      <c r="I394">
        <v>381</v>
      </c>
      <c r="J394">
        <v>9</v>
      </c>
      <c r="M394">
        <v>381</v>
      </c>
      <c r="N394" s="18">
        <v>2.7352607709750565E-2</v>
      </c>
    </row>
    <row r="395" spans="6:14" x14ac:dyDescent="0.25">
      <c r="F395">
        <v>374</v>
      </c>
      <c r="G395" s="15">
        <v>274916</v>
      </c>
      <c r="I395">
        <v>383</v>
      </c>
      <c r="J395">
        <v>1</v>
      </c>
      <c r="M395">
        <v>383</v>
      </c>
      <c r="N395" s="18">
        <v>0</v>
      </c>
    </row>
    <row r="396" spans="6:14" x14ac:dyDescent="0.25">
      <c r="F396">
        <v>378</v>
      </c>
      <c r="G396" s="15">
        <v>844452</v>
      </c>
      <c r="I396">
        <v>385</v>
      </c>
      <c r="J396">
        <v>13</v>
      </c>
      <c r="M396">
        <v>385</v>
      </c>
      <c r="N396" s="18">
        <v>2.9204880332699881E-2</v>
      </c>
    </row>
    <row r="397" spans="6:14" x14ac:dyDescent="0.25">
      <c r="F397">
        <v>381</v>
      </c>
      <c r="G397" s="15">
        <v>1276517</v>
      </c>
      <c r="I397">
        <v>388</v>
      </c>
      <c r="J397">
        <v>8</v>
      </c>
      <c r="M397">
        <v>388</v>
      </c>
      <c r="N397" s="18">
        <v>1.5625E-2</v>
      </c>
    </row>
    <row r="398" spans="6:14" x14ac:dyDescent="0.25">
      <c r="F398">
        <v>383</v>
      </c>
      <c r="G398" s="15">
        <v>308287</v>
      </c>
      <c r="I398">
        <v>391</v>
      </c>
      <c r="J398">
        <v>1</v>
      </c>
      <c r="M398">
        <v>391</v>
      </c>
      <c r="N398" s="18">
        <v>3.125E-2</v>
      </c>
    </row>
    <row r="399" spans="6:14" x14ac:dyDescent="0.25">
      <c r="F399">
        <v>385</v>
      </c>
      <c r="G399" s="15">
        <v>3637431</v>
      </c>
      <c r="I399">
        <v>393</v>
      </c>
      <c r="J399">
        <v>10</v>
      </c>
      <c r="M399">
        <v>393</v>
      </c>
      <c r="N399" s="18">
        <v>1.1627906976744186E-2</v>
      </c>
    </row>
    <row r="400" spans="6:14" x14ac:dyDescent="0.25">
      <c r="F400">
        <v>388</v>
      </c>
      <c r="G400" s="15">
        <v>642040</v>
      </c>
      <c r="I400">
        <v>394</v>
      </c>
      <c r="J400">
        <v>11</v>
      </c>
      <c r="M400">
        <v>394</v>
      </c>
      <c r="N400" s="18">
        <v>2.0134228187919462E-2</v>
      </c>
    </row>
    <row r="401" spans="6:14" x14ac:dyDescent="0.25">
      <c r="F401">
        <v>391</v>
      </c>
      <c r="G401" s="15">
        <v>1339111</v>
      </c>
      <c r="I401">
        <v>399</v>
      </c>
      <c r="J401">
        <v>15</v>
      </c>
      <c r="M401">
        <v>399</v>
      </c>
      <c r="N401" s="18">
        <v>0</v>
      </c>
    </row>
    <row r="402" spans="6:14" x14ac:dyDescent="0.25">
      <c r="F402">
        <v>393</v>
      </c>
      <c r="G402" s="15">
        <v>882254</v>
      </c>
      <c r="I402">
        <v>403</v>
      </c>
      <c r="J402">
        <v>4</v>
      </c>
      <c r="M402">
        <v>403</v>
      </c>
      <c r="N402" s="18">
        <v>1.0752688172043012E-2</v>
      </c>
    </row>
    <row r="403" spans="6:14" x14ac:dyDescent="0.25">
      <c r="F403">
        <v>394</v>
      </c>
      <c r="G403" s="15">
        <v>1021364</v>
      </c>
      <c r="I403">
        <v>404</v>
      </c>
      <c r="J403">
        <v>9</v>
      </c>
      <c r="M403">
        <v>404</v>
      </c>
      <c r="N403" s="18">
        <v>1.5384615384615385E-2</v>
      </c>
    </row>
    <row r="404" spans="6:14" x14ac:dyDescent="0.25">
      <c r="F404">
        <v>399</v>
      </c>
      <c r="G404" s="15">
        <v>3750518</v>
      </c>
      <c r="I404">
        <v>405</v>
      </c>
      <c r="J404">
        <v>6</v>
      </c>
      <c r="M404">
        <v>405</v>
      </c>
      <c r="N404" s="18">
        <v>4.1666666666666664E-2</v>
      </c>
    </row>
    <row r="405" spans="6:14" x14ac:dyDescent="0.25">
      <c r="F405">
        <v>403</v>
      </c>
      <c r="G405" s="15">
        <v>1156734</v>
      </c>
      <c r="I405">
        <v>407</v>
      </c>
      <c r="J405">
        <v>3</v>
      </c>
      <c r="M405">
        <v>407</v>
      </c>
      <c r="N405" s="18">
        <v>0</v>
      </c>
    </row>
    <row r="406" spans="6:14" x14ac:dyDescent="0.25">
      <c r="F406">
        <v>404</v>
      </c>
      <c r="G406" s="15">
        <v>784201</v>
      </c>
      <c r="I406">
        <v>409</v>
      </c>
      <c r="J406">
        <v>5</v>
      </c>
      <c r="M406">
        <v>409</v>
      </c>
      <c r="N406" s="18">
        <v>0.04</v>
      </c>
    </row>
    <row r="407" spans="6:14" x14ac:dyDescent="0.25">
      <c r="F407">
        <v>405</v>
      </c>
      <c r="G407" s="15">
        <v>771303</v>
      </c>
      <c r="I407">
        <v>411</v>
      </c>
      <c r="J407">
        <v>4</v>
      </c>
      <c r="M407">
        <v>411</v>
      </c>
      <c r="N407" s="18">
        <v>2.6666666666666668E-2</v>
      </c>
    </row>
    <row r="408" spans="6:14" x14ac:dyDescent="0.25">
      <c r="F408">
        <v>407</v>
      </c>
      <c r="G408" s="15">
        <v>1450815</v>
      </c>
      <c r="I408">
        <v>414</v>
      </c>
      <c r="J408">
        <v>6</v>
      </c>
      <c r="M408">
        <v>414</v>
      </c>
      <c r="N408" s="18">
        <v>4.4117647058823532E-2</v>
      </c>
    </row>
    <row r="409" spans="6:14" x14ac:dyDescent="0.25">
      <c r="F409">
        <v>409</v>
      </c>
      <c r="G409" s="15">
        <v>843608</v>
      </c>
      <c r="I409">
        <v>415</v>
      </c>
      <c r="J409">
        <v>10</v>
      </c>
      <c r="M409">
        <v>415</v>
      </c>
      <c r="N409" s="18">
        <v>2.4758454106280192E-2</v>
      </c>
    </row>
    <row r="410" spans="6:14" x14ac:dyDescent="0.25">
      <c r="F410">
        <v>411</v>
      </c>
      <c r="G410" s="15">
        <v>1008609</v>
      </c>
      <c r="I410">
        <v>417</v>
      </c>
      <c r="J410">
        <v>2</v>
      </c>
      <c r="M410">
        <v>417</v>
      </c>
      <c r="N410" s="18">
        <v>2.2900763358778626E-2</v>
      </c>
    </row>
    <row r="411" spans="6:14" x14ac:dyDescent="0.25">
      <c r="F411">
        <v>414</v>
      </c>
      <c r="G411" s="15">
        <v>846282</v>
      </c>
      <c r="I411">
        <v>423</v>
      </c>
      <c r="J411">
        <v>6</v>
      </c>
      <c r="M411">
        <v>423</v>
      </c>
      <c r="N411" s="18">
        <v>1.3710171568627451E-2</v>
      </c>
    </row>
    <row r="412" spans="6:14" x14ac:dyDescent="0.25">
      <c r="F412">
        <v>415</v>
      </c>
      <c r="G412" s="15">
        <v>1652288</v>
      </c>
      <c r="I412">
        <v>424</v>
      </c>
      <c r="J412">
        <v>6</v>
      </c>
      <c r="M412">
        <v>424</v>
      </c>
      <c r="N412" s="18">
        <v>2.3809523809523808E-2</v>
      </c>
    </row>
    <row r="413" spans="6:14" x14ac:dyDescent="0.25">
      <c r="F413">
        <v>417</v>
      </c>
      <c r="G413" s="15">
        <v>958387</v>
      </c>
      <c r="I413">
        <v>427</v>
      </c>
      <c r="J413">
        <v>4</v>
      </c>
      <c r="M413">
        <v>427</v>
      </c>
      <c r="N413" s="18">
        <v>3.6045997346306945E-2</v>
      </c>
    </row>
    <row r="414" spans="6:14" x14ac:dyDescent="0.25">
      <c r="F414">
        <v>423</v>
      </c>
      <c r="G414" s="15">
        <v>2051142</v>
      </c>
      <c r="I414">
        <v>428</v>
      </c>
      <c r="J414">
        <v>6</v>
      </c>
      <c r="M414">
        <v>428</v>
      </c>
      <c r="N414" s="18">
        <v>2.1749408983451537E-2</v>
      </c>
    </row>
    <row r="415" spans="6:14" x14ac:dyDescent="0.25">
      <c r="F415">
        <v>424</v>
      </c>
      <c r="G415" s="15">
        <v>655296</v>
      </c>
      <c r="I415">
        <v>433</v>
      </c>
      <c r="J415">
        <v>8</v>
      </c>
      <c r="M415">
        <v>433</v>
      </c>
      <c r="N415" s="18">
        <v>1.9230769230769232E-2</v>
      </c>
    </row>
    <row r="416" spans="6:14" x14ac:dyDescent="0.25">
      <c r="F416">
        <v>427</v>
      </c>
      <c r="G416" s="15">
        <v>2196978</v>
      </c>
      <c r="I416">
        <v>435</v>
      </c>
      <c r="J416">
        <v>5</v>
      </c>
      <c r="M416">
        <v>435</v>
      </c>
      <c r="N416" s="18">
        <v>9.9009900990099011E-3</v>
      </c>
    </row>
    <row r="417" spans="6:14" x14ac:dyDescent="0.25">
      <c r="F417">
        <v>428</v>
      </c>
      <c r="G417" s="15">
        <v>2204954</v>
      </c>
      <c r="I417">
        <v>442</v>
      </c>
      <c r="J417">
        <v>9</v>
      </c>
      <c r="M417">
        <v>442</v>
      </c>
      <c r="N417" s="18">
        <v>1.1764705882352941E-2</v>
      </c>
    </row>
    <row r="418" spans="6:14" x14ac:dyDescent="0.25">
      <c r="F418">
        <v>433</v>
      </c>
      <c r="G418" s="15">
        <v>658810</v>
      </c>
      <c r="I418">
        <v>443</v>
      </c>
      <c r="J418">
        <v>4</v>
      </c>
      <c r="M418">
        <v>443</v>
      </c>
      <c r="N418" s="18">
        <v>1.3333333333333334E-2</v>
      </c>
    </row>
    <row r="419" spans="6:14" x14ac:dyDescent="0.25">
      <c r="F419">
        <v>435</v>
      </c>
      <c r="G419" s="15">
        <v>740980</v>
      </c>
      <c r="I419">
        <v>449</v>
      </c>
      <c r="J419">
        <v>8</v>
      </c>
      <c r="M419">
        <v>449</v>
      </c>
      <c r="N419" s="18">
        <v>2.6237276237276237E-2</v>
      </c>
    </row>
    <row r="420" spans="6:14" x14ac:dyDescent="0.25">
      <c r="F420">
        <v>442</v>
      </c>
      <c r="G420" s="15">
        <v>538424</v>
      </c>
      <c r="I420">
        <v>457</v>
      </c>
      <c r="J420">
        <v>5</v>
      </c>
      <c r="M420">
        <v>457</v>
      </c>
      <c r="N420" s="18">
        <v>3.8461538461538464E-2</v>
      </c>
    </row>
    <row r="421" spans="6:14" x14ac:dyDescent="0.25">
      <c r="F421">
        <v>443</v>
      </c>
      <c r="G421" s="15">
        <v>1628725</v>
      </c>
      <c r="I421">
        <v>458</v>
      </c>
      <c r="J421">
        <v>4</v>
      </c>
      <c r="M421">
        <v>458</v>
      </c>
      <c r="N421" s="18">
        <v>2.564102564102564E-2</v>
      </c>
    </row>
    <row r="422" spans="6:14" x14ac:dyDescent="0.25">
      <c r="F422">
        <v>449</v>
      </c>
      <c r="G422" s="15">
        <v>1380269</v>
      </c>
      <c r="I422">
        <v>469</v>
      </c>
      <c r="J422">
        <v>5</v>
      </c>
      <c r="M422">
        <v>469</v>
      </c>
      <c r="N422" s="18">
        <v>2.564102564102564E-2</v>
      </c>
    </row>
    <row r="423" spans="6:14" x14ac:dyDescent="0.25">
      <c r="F423">
        <v>457</v>
      </c>
      <c r="G423" s="15">
        <v>703166</v>
      </c>
      <c r="I423">
        <v>474</v>
      </c>
      <c r="J423">
        <v>8</v>
      </c>
      <c r="M423">
        <v>474</v>
      </c>
      <c r="N423" s="18">
        <v>3.5714285714285712E-2</v>
      </c>
    </row>
    <row r="424" spans="6:14" x14ac:dyDescent="0.25">
      <c r="F424">
        <v>458</v>
      </c>
      <c r="G424" s="15">
        <v>1601014</v>
      </c>
      <c r="I424">
        <v>481</v>
      </c>
      <c r="J424">
        <v>5</v>
      </c>
      <c r="M424">
        <v>481</v>
      </c>
      <c r="N424" s="18">
        <v>1.4084507042253521E-2</v>
      </c>
    </row>
    <row r="425" spans="6:14" x14ac:dyDescent="0.25">
      <c r="F425">
        <v>469</v>
      </c>
      <c r="G425" s="15">
        <v>694007</v>
      </c>
      <c r="I425">
        <v>498</v>
      </c>
      <c r="J425">
        <v>6</v>
      </c>
      <c r="M425">
        <v>498</v>
      </c>
      <c r="N425" s="18">
        <v>1.4492753623188406E-2</v>
      </c>
    </row>
    <row r="426" spans="6:14" x14ac:dyDescent="0.25">
      <c r="F426">
        <v>474</v>
      </c>
      <c r="G426" s="15">
        <v>1634448</v>
      </c>
      <c r="I426">
        <v>501</v>
      </c>
      <c r="J426">
        <v>7</v>
      </c>
      <c r="M426">
        <v>501</v>
      </c>
      <c r="N426" s="18">
        <v>0</v>
      </c>
    </row>
    <row r="427" spans="6:14" x14ac:dyDescent="0.25">
      <c r="F427">
        <v>481</v>
      </c>
      <c r="G427" s="15">
        <v>1224335</v>
      </c>
      <c r="I427">
        <v>505</v>
      </c>
      <c r="J427">
        <v>2</v>
      </c>
      <c r="M427">
        <v>505</v>
      </c>
      <c r="N427" s="18">
        <v>0</v>
      </c>
    </row>
    <row r="428" spans="6:14" x14ac:dyDescent="0.25">
      <c r="F428">
        <v>498</v>
      </c>
      <c r="G428" s="15">
        <v>619437</v>
      </c>
      <c r="I428">
        <v>506</v>
      </c>
      <c r="J428">
        <v>9</v>
      </c>
      <c r="M428">
        <v>506</v>
      </c>
      <c r="N428" s="18">
        <v>2.551622418879056E-2</v>
      </c>
    </row>
    <row r="429" spans="6:14" x14ac:dyDescent="0.25">
      <c r="F429">
        <v>501</v>
      </c>
      <c r="G429" s="15">
        <v>641339</v>
      </c>
      <c r="I429">
        <v>509</v>
      </c>
      <c r="J429">
        <v>8</v>
      </c>
      <c r="M429">
        <v>509</v>
      </c>
      <c r="N429" s="18">
        <v>2.9850746268656716E-2</v>
      </c>
    </row>
    <row r="430" spans="6:14" x14ac:dyDescent="0.25">
      <c r="F430">
        <v>505</v>
      </c>
      <c r="G430" s="15">
        <v>544095</v>
      </c>
      <c r="I430">
        <v>513</v>
      </c>
      <c r="J430">
        <v>7</v>
      </c>
      <c r="M430">
        <v>513</v>
      </c>
      <c r="N430" s="18">
        <v>3.1746031746031744E-2</v>
      </c>
    </row>
    <row r="431" spans="6:14" x14ac:dyDescent="0.25">
      <c r="F431">
        <v>506</v>
      </c>
      <c r="G431" s="15">
        <v>1442983</v>
      </c>
      <c r="I431">
        <v>514</v>
      </c>
      <c r="J431">
        <v>2</v>
      </c>
      <c r="M431">
        <v>514</v>
      </c>
      <c r="N431" s="18">
        <v>1.5267175572519083E-2</v>
      </c>
    </row>
    <row r="432" spans="6:14" x14ac:dyDescent="0.25">
      <c r="F432">
        <v>509</v>
      </c>
      <c r="G432" s="15">
        <v>936189</v>
      </c>
      <c r="I432">
        <v>519</v>
      </c>
      <c r="J432">
        <v>5</v>
      </c>
      <c r="M432">
        <v>519</v>
      </c>
      <c r="N432" s="18">
        <v>2.5000000000000001E-2</v>
      </c>
    </row>
    <row r="433" spans="6:14" x14ac:dyDescent="0.25">
      <c r="F433">
        <v>513</v>
      </c>
      <c r="G433" s="15">
        <v>880047</v>
      </c>
      <c r="I433">
        <v>521</v>
      </c>
      <c r="J433">
        <v>11</v>
      </c>
      <c r="M433">
        <v>521</v>
      </c>
      <c r="N433" s="18">
        <v>2.6527979358168037E-2</v>
      </c>
    </row>
    <row r="434" spans="6:14" x14ac:dyDescent="0.25">
      <c r="F434">
        <v>514</v>
      </c>
      <c r="G434" s="15">
        <v>892839</v>
      </c>
      <c r="I434">
        <v>522</v>
      </c>
      <c r="J434">
        <v>8</v>
      </c>
      <c r="M434">
        <v>522</v>
      </c>
      <c r="N434" s="18">
        <v>2.797270955165692E-2</v>
      </c>
    </row>
    <row r="435" spans="6:14" x14ac:dyDescent="0.25">
      <c r="F435">
        <v>519</v>
      </c>
      <c r="G435" s="15">
        <v>1026204</v>
      </c>
      <c r="I435">
        <v>524</v>
      </c>
      <c r="J435">
        <v>7</v>
      </c>
      <c r="M435">
        <v>524</v>
      </c>
      <c r="N435" s="18">
        <v>5.3846153846153849E-2</v>
      </c>
    </row>
    <row r="436" spans="6:14" x14ac:dyDescent="0.25">
      <c r="F436">
        <v>521</v>
      </c>
      <c r="G436" s="15">
        <v>2262610</v>
      </c>
      <c r="I436">
        <v>525</v>
      </c>
      <c r="J436">
        <v>1</v>
      </c>
      <c r="M436">
        <v>525</v>
      </c>
      <c r="N436" s="18">
        <v>3.8461538461538464E-2</v>
      </c>
    </row>
    <row r="437" spans="6:14" x14ac:dyDescent="0.25">
      <c r="F437">
        <v>522</v>
      </c>
      <c r="G437" s="15">
        <v>2128050</v>
      </c>
      <c r="I437">
        <v>529</v>
      </c>
      <c r="J437">
        <v>5</v>
      </c>
      <c r="M437">
        <v>529</v>
      </c>
      <c r="N437" s="18">
        <v>0</v>
      </c>
    </row>
    <row r="438" spans="6:14" x14ac:dyDescent="0.25">
      <c r="F438">
        <v>524</v>
      </c>
      <c r="G438" s="15">
        <v>971872</v>
      </c>
      <c r="I438">
        <v>531</v>
      </c>
      <c r="J438">
        <v>6</v>
      </c>
      <c r="M438">
        <v>531</v>
      </c>
      <c r="N438" s="18">
        <v>2.9411764705882353E-2</v>
      </c>
    </row>
    <row r="439" spans="6:14" x14ac:dyDescent="0.25">
      <c r="F439">
        <v>525</v>
      </c>
      <c r="G439" s="15">
        <v>505575</v>
      </c>
      <c r="I439">
        <v>538</v>
      </c>
      <c r="J439">
        <v>6</v>
      </c>
      <c r="M439">
        <v>538</v>
      </c>
      <c r="N439" s="18">
        <v>1.2903225806451613E-2</v>
      </c>
    </row>
    <row r="440" spans="6:14" x14ac:dyDescent="0.25">
      <c r="F440">
        <v>529</v>
      </c>
      <c r="G440" s="15">
        <v>371272</v>
      </c>
      <c r="I440">
        <v>542</v>
      </c>
      <c r="J440">
        <v>3</v>
      </c>
      <c r="M440">
        <v>542</v>
      </c>
      <c r="N440" s="18">
        <v>3.3898305084745763E-2</v>
      </c>
    </row>
    <row r="441" spans="6:14" x14ac:dyDescent="0.25">
      <c r="F441">
        <v>531</v>
      </c>
      <c r="G441" s="15">
        <v>1941155</v>
      </c>
      <c r="I441">
        <v>544</v>
      </c>
      <c r="J441">
        <v>19</v>
      </c>
      <c r="M441">
        <v>544</v>
      </c>
      <c r="N441" s="18">
        <v>2.5062656641604009E-2</v>
      </c>
    </row>
    <row r="442" spans="6:14" x14ac:dyDescent="0.25">
      <c r="F442">
        <v>538</v>
      </c>
      <c r="G442" s="15">
        <v>1456675</v>
      </c>
      <c r="I442">
        <v>551</v>
      </c>
      <c r="J442">
        <v>3</v>
      </c>
      <c r="M442">
        <v>551</v>
      </c>
      <c r="N442" s="18">
        <v>0</v>
      </c>
    </row>
    <row r="443" spans="6:14" x14ac:dyDescent="0.25">
      <c r="F443">
        <v>542</v>
      </c>
      <c r="G443" s="15">
        <v>571032</v>
      </c>
      <c r="I443">
        <v>557</v>
      </c>
      <c r="J443">
        <v>17</v>
      </c>
      <c r="M443">
        <v>557</v>
      </c>
      <c r="N443" s="18">
        <v>0</v>
      </c>
    </row>
    <row r="444" spans="6:14" x14ac:dyDescent="0.25">
      <c r="F444">
        <v>544</v>
      </c>
      <c r="G444" s="15">
        <v>1840074</v>
      </c>
      <c r="I444">
        <v>560</v>
      </c>
      <c r="J444">
        <v>4</v>
      </c>
      <c r="M444">
        <v>560</v>
      </c>
      <c r="N444" s="18">
        <v>0</v>
      </c>
    </row>
    <row r="445" spans="6:14" x14ac:dyDescent="0.25">
      <c r="F445">
        <v>551</v>
      </c>
      <c r="G445" s="15">
        <v>573672</v>
      </c>
      <c r="I445">
        <v>561</v>
      </c>
      <c r="J445">
        <v>2</v>
      </c>
      <c r="M445">
        <v>561</v>
      </c>
      <c r="N445" s="18">
        <v>0</v>
      </c>
    </row>
    <row r="446" spans="6:14" x14ac:dyDescent="0.25">
      <c r="F446">
        <v>557</v>
      </c>
      <c r="G446" s="15">
        <v>1134627</v>
      </c>
      <c r="I446">
        <v>565</v>
      </c>
      <c r="J446">
        <v>6</v>
      </c>
      <c r="M446">
        <v>565</v>
      </c>
      <c r="N446" s="18">
        <v>0</v>
      </c>
    </row>
    <row r="447" spans="6:14" x14ac:dyDescent="0.25">
      <c r="F447">
        <v>560</v>
      </c>
      <c r="G447" s="15">
        <v>1906840</v>
      </c>
      <c r="I447">
        <v>568</v>
      </c>
      <c r="J447">
        <v>9</v>
      </c>
      <c r="M447">
        <v>568</v>
      </c>
      <c r="N447" s="18">
        <v>0</v>
      </c>
    </row>
    <row r="448" spans="6:14" x14ac:dyDescent="0.25">
      <c r="F448">
        <v>561</v>
      </c>
      <c r="G448" s="15">
        <v>608706</v>
      </c>
      <c r="I448">
        <v>571</v>
      </c>
      <c r="J448">
        <v>2</v>
      </c>
      <c r="M448">
        <v>571</v>
      </c>
      <c r="N448" s="18">
        <v>6.41025641025641E-3</v>
      </c>
    </row>
    <row r="449" spans="6:14" x14ac:dyDescent="0.25">
      <c r="F449">
        <v>565</v>
      </c>
      <c r="G449" s="15">
        <v>384873</v>
      </c>
      <c r="I449">
        <v>580</v>
      </c>
      <c r="J449">
        <v>2</v>
      </c>
      <c r="M449">
        <v>580</v>
      </c>
      <c r="N449" s="18">
        <v>8.9285714285714281E-3</v>
      </c>
    </row>
    <row r="450" spans="6:14" x14ac:dyDescent="0.25">
      <c r="F450">
        <v>568</v>
      </c>
      <c r="G450" s="15">
        <v>947468</v>
      </c>
      <c r="I450">
        <v>582</v>
      </c>
      <c r="J450">
        <v>9</v>
      </c>
      <c r="M450">
        <v>582</v>
      </c>
      <c r="N450" s="18">
        <v>2.4865591397849461E-2</v>
      </c>
    </row>
    <row r="451" spans="6:14" x14ac:dyDescent="0.25">
      <c r="F451">
        <v>571</v>
      </c>
      <c r="G451" s="15">
        <v>1058805</v>
      </c>
      <c r="I451">
        <v>583</v>
      </c>
      <c r="J451">
        <v>7</v>
      </c>
      <c r="M451">
        <v>583</v>
      </c>
      <c r="N451" s="18">
        <v>0</v>
      </c>
    </row>
    <row r="452" spans="6:14" x14ac:dyDescent="0.25">
      <c r="F452">
        <v>580</v>
      </c>
      <c r="G452" s="15">
        <v>1826460</v>
      </c>
      <c r="I452">
        <v>586</v>
      </c>
      <c r="J452">
        <v>13</v>
      </c>
      <c r="M452">
        <v>586</v>
      </c>
      <c r="N452" s="18">
        <v>0</v>
      </c>
    </row>
    <row r="453" spans="6:14" x14ac:dyDescent="0.25">
      <c r="F453">
        <v>582</v>
      </c>
      <c r="G453" s="15">
        <v>1350830</v>
      </c>
      <c r="I453">
        <v>587</v>
      </c>
      <c r="J453">
        <v>6</v>
      </c>
      <c r="M453">
        <v>587</v>
      </c>
      <c r="N453" s="18">
        <v>3.1746031746031744E-2</v>
      </c>
    </row>
    <row r="454" spans="6:14" x14ac:dyDescent="0.25">
      <c r="F454">
        <v>583</v>
      </c>
      <c r="G454" s="15">
        <v>972159</v>
      </c>
      <c r="I454">
        <v>591</v>
      </c>
      <c r="J454">
        <v>7</v>
      </c>
      <c r="M454">
        <v>591</v>
      </c>
      <c r="N454" s="18">
        <v>1.8181818181818181E-2</v>
      </c>
    </row>
    <row r="455" spans="6:14" x14ac:dyDescent="0.25">
      <c r="F455">
        <v>586</v>
      </c>
      <c r="G455" s="15">
        <v>1311296</v>
      </c>
      <c r="I455">
        <v>593</v>
      </c>
      <c r="J455">
        <v>3</v>
      </c>
      <c r="M455">
        <v>593</v>
      </c>
      <c r="N455" s="18">
        <v>1.834862385321101E-2</v>
      </c>
    </row>
    <row r="456" spans="6:14" x14ac:dyDescent="0.25">
      <c r="F456">
        <v>587</v>
      </c>
      <c r="G456" s="15">
        <v>892419</v>
      </c>
      <c r="I456">
        <v>595</v>
      </c>
      <c r="J456">
        <v>16</v>
      </c>
      <c r="M456">
        <v>595</v>
      </c>
      <c r="N456" s="18">
        <v>2.0002000200020003E-2</v>
      </c>
    </row>
    <row r="457" spans="6:14" x14ac:dyDescent="0.25">
      <c r="F457">
        <v>591</v>
      </c>
      <c r="G457" s="15">
        <v>594364</v>
      </c>
      <c r="I457">
        <v>605</v>
      </c>
      <c r="J457">
        <v>3</v>
      </c>
      <c r="M457">
        <v>605</v>
      </c>
      <c r="N457" s="18">
        <v>3.7735849056603772E-2</v>
      </c>
    </row>
    <row r="458" spans="6:14" x14ac:dyDescent="0.25">
      <c r="F458">
        <v>593</v>
      </c>
      <c r="G458" s="15">
        <v>1755294</v>
      </c>
      <c r="I458">
        <v>612</v>
      </c>
      <c r="J458">
        <v>5</v>
      </c>
      <c r="M458">
        <v>612</v>
      </c>
      <c r="N458" s="18">
        <v>2.2222222222222223E-2</v>
      </c>
    </row>
    <row r="459" spans="6:14" x14ac:dyDescent="0.25">
      <c r="F459">
        <v>595</v>
      </c>
      <c r="G459" s="15">
        <v>1584738</v>
      </c>
      <c r="I459">
        <v>623</v>
      </c>
      <c r="J459">
        <v>4</v>
      </c>
      <c r="M459">
        <v>623</v>
      </c>
      <c r="N459" s="18">
        <v>3.7499999999999999E-2</v>
      </c>
    </row>
    <row r="460" spans="6:14" x14ac:dyDescent="0.25">
      <c r="F460">
        <v>605</v>
      </c>
      <c r="G460" s="15">
        <v>603670</v>
      </c>
      <c r="I460">
        <v>626</v>
      </c>
      <c r="J460">
        <v>7</v>
      </c>
      <c r="M460">
        <v>626</v>
      </c>
      <c r="N460" s="18">
        <v>1.834862385321101E-2</v>
      </c>
    </row>
    <row r="461" spans="6:14" x14ac:dyDescent="0.25">
      <c r="F461">
        <v>612</v>
      </c>
      <c r="G461" s="15">
        <v>2107107</v>
      </c>
      <c r="I461">
        <v>627</v>
      </c>
      <c r="J461">
        <v>4</v>
      </c>
      <c r="M461">
        <v>627</v>
      </c>
      <c r="N461" s="18">
        <v>0</v>
      </c>
    </row>
    <row r="462" spans="6:14" x14ac:dyDescent="0.25">
      <c r="F462">
        <v>623</v>
      </c>
      <c r="G462" s="15">
        <v>1309173</v>
      </c>
      <c r="I462">
        <v>628</v>
      </c>
      <c r="J462">
        <v>4</v>
      </c>
      <c r="M462">
        <v>628</v>
      </c>
      <c r="N462" s="18">
        <v>1.1627906976744186E-2</v>
      </c>
    </row>
    <row r="463" spans="6:14" x14ac:dyDescent="0.25">
      <c r="F463">
        <v>626</v>
      </c>
      <c r="G463" s="15">
        <v>1607119</v>
      </c>
      <c r="I463">
        <v>633</v>
      </c>
      <c r="J463">
        <v>7</v>
      </c>
      <c r="M463">
        <v>633</v>
      </c>
      <c r="N463" s="18">
        <v>2.9411764705882353E-2</v>
      </c>
    </row>
    <row r="464" spans="6:14" x14ac:dyDescent="0.25">
      <c r="F464">
        <v>627</v>
      </c>
      <c r="G464" s="15">
        <v>868026</v>
      </c>
      <c r="I464">
        <v>634</v>
      </c>
      <c r="J464">
        <v>7</v>
      </c>
      <c r="M464">
        <v>634</v>
      </c>
      <c r="N464" s="18">
        <v>1.8055555555555554E-2</v>
      </c>
    </row>
    <row r="465" spans="6:14" x14ac:dyDescent="0.25">
      <c r="F465">
        <v>628</v>
      </c>
      <c r="G465" s="15">
        <v>759892</v>
      </c>
      <c r="I465">
        <v>635</v>
      </c>
      <c r="J465">
        <v>7</v>
      </c>
      <c r="M465">
        <v>635</v>
      </c>
      <c r="N465" s="18">
        <v>2.1739130434782608E-2</v>
      </c>
    </row>
    <row r="466" spans="6:14" x14ac:dyDescent="0.25">
      <c r="F466">
        <v>633</v>
      </c>
      <c r="G466" s="15">
        <v>769649</v>
      </c>
      <c r="I466">
        <v>639</v>
      </c>
      <c r="J466">
        <v>13</v>
      </c>
      <c r="M466">
        <v>639</v>
      </c>
      <c r="N466" s="18">
        <v>2.5799222690812865E-2</v>
      </c>
    </row>
    <row r="467" spans="6:14" x14ac:dyDescent="0.25">
      <c r="F467">
        <v>634</v>
      </c>
      <c r="G467" s="15">
        <v>1639146</v>
      </c>
      <c r="I467">
        <v>640</v>
      </c>
      <c r="J467">
        <v>5</v>
      </c>
      <c r="M467">
        <v>640</v>
      </c>
      <c r="N467" s="18">
        <v>2.0408163265306121E-2</v>
      </c>
    </row>
    <row r="468" spans="6:14" x14ac:dyDescent="0.25">
      <c r="F468">
        <v>635</v>
      </c>
      <c r="G468" s="15">
        <v>473687</v>
      </c>
      <c r="I468">
        <v>644</v>
      </c>
      <c r="J468">
        <v>6</v>
      </c>
      <c r="M468">
        <v>644</v>
      </c>
      <c r="N468" s="18">
        <v>0</v>
      </c>
    </row>
    <row r="469" spans="6:14" x14ac:dyDescent="0.25">
      <c r="F469">
        <v>639</v>
      </c>
      <c r="G469" s="15">
        <v>3218046</v>
      </c>
      <c r="I469">
        <v>645</v>
      </c>
      <c r="J469">
        <v>10</v>
      </c>
      <c r="M469">
        <v>645</v>
      </c>
      <c r="N469" s="18">
        <v>1.0309278350515464E-2</v>
      </c>
    </row>
    <row r="470" spans="6:14" x14ac:dyDescent="0.25">
      <c r="F470">
        <v>640</v>
      </c>
      <c r="G470" s="15">
        <v>2373067</v>
      </c>
      <c r="I470">
        <v>646</v>
      </c>
      <c r="J470">
        <v>2</v>
      </c>
      <c r="M470">
        <v>646</v>
      </c>
      <c r="N470" s="18">
        <v>3.1914893617021274E-2</v>
      </c>
    </row>
    <row r="471" spans="6:14" x14ac:dyDescent="0.25">
      <c r="F471">
        <v>644</v>
      </c>
      <c r="G471" s="15">
        <v>2105948</v>
      </c>
      <c r="I471">
        <v>647</v>
      </c>
      <c r="J471">
        <v>18</v>
      </c>
      <c r="M471">
        <v>647</v>
      </c>
      <c r="N471" s="18">
        <v>1.4705882352941176E-2</v>
      </c>
    </row>
    <row r="472" spans="6:14" x14ac:dyDescent="0.25">
      <c r="F472">
        <v>645</v>
      </c>
      <c r="G472" s="15">
        <v>1033180</v>
      </c>
      <c r="I472">
        <v>649</v>
      </c>
      <c r="J472">
        <v>7</v>
      </c>
      <c r="M472">
        <v>649</v>
      </c>
      <c r="N472" s="18">
        <v>0</v>
      </c>
    </row>
    <row r="473" spans="6:14" x14ac:dyDescent="0.25">
      <c r="F473">
        <v>646</v>
      </c>
      <c r="G473" s="15">
        <v>1604770</v>
      </c>
      <c r="I473">
        <v>651</v>
      </c>
      <c r="J473">
        <v>6</v>
      </c>
      <c r="M473">
        <v>651</v>
      </c>
      <c r="N473" s="18">
        <v>3.125E-2</v>
      </c>
    </row>
    <row r="474" spans="6:14" x14ac:dyDescent="0.25">
      <c r="F474">
        <v>647</v>
      </c>
      <c r="G474" s="15">
        <v>2387178</v>
      </c>
      <c r="I474">
        <v>657</v>
      </c>
      <c r="J474">
        <v>6</v>
      </c>
      <c r="M474">
        <v>657</v>
      </c>
      <c r="N474" s="18">
        <v>1.5873015873015872E-2</v>
      </c>
    </row>
    <row r="475" spans="6:14" x14ac:dyDescent="0.25">
      <c r="F475">
        <v>649</v>
      </c>
      <c r="G475" s="15">
        <v>1382850</v>
      </c>
      <c r="I475">
        <v>659</v>
      </c>
      <c r="J475">
        <v>4</v>
      </c>
      <c r="M475">
        <v>659</v>
      </c>
      <c r="N475" s="18">
        <v>0</v>
      </c>
    </row>
    <row r="476" spans="6:14" x14ac:dyDescent="0.25">
      <c r="F476">
        <v>651</v>
      </c>
      <c r="G476" s="15">
        <v>1697631</v>
      </c>
      <c r="I476">
        <v>663</v>
      </c>
      <c r="J476">
        <v>8</v>
      </c>
      <c r="M476">
        <v>663</v>
      </c>
      <c r="N476" s="18">
        <v>3.9215686274509803E-2</v>
      </c>
    </row>
    <row r="477" spans="6:14" x14ac:dyDescent="0.25">
      <c r="F477">
        <v>657</v>
      </c>
      <c r="G477" s="15">
        <v>2017935</v>
      </c>
      <c r="I477">
        <v>672</v>
      </c>
      <c r="J477">
        <v>1</v>
      </c>
      <c r="M477">
        <v>672</v>
      </c>
      <c r="N477" s="18">
        <v>3.007518796992481E-2</v>
      </c>
    </row>
    <row r="478" spans="6:14" x14ac:dyDescent="0.25">
      <c r="F478">
        <v>659</v>
      </c>
      <c r="G478" s="15">
        <v>1455830</v>
      </c>
      <c r="I478">
        <v>674</v>
      </c>
      <c r="J478">
        <v>8</v>
      </c>
      <c r="M478">
        <v>674</v>
      </c>
      <c r="N478" s="18">
        <v>1.1904761904761904E-2</v>
      </c>
    </row>
    <row r="479" spans="6:14" x14ac:dyDescent="0.25">
      <c r="F479">
        <v>663</v>
      </c>
      <c r="G479" s="15">
        <v>1881645</v>
      </c>
      <c r="I479">
        <v>678</v>
      </c>
      <c r="J479">
        <v>6</v>
      </c>
      <c r="M479">
        <v>678</v>
      </c>
      <c r="N479" s="18">
        <v>6.7567567567567571E-3</v>
      </c>
    </row>
    <row r="480" spans="6:14" x14ac:dyDescent="0.25">
      <c r="F480">
        <v>672</v>
      </c>
      <c r="G480" s="15">
        <v>2029335</v>
      </c>
      <c r="I480">
        <v>682</v>
      </c>
      <c r="J480">
        <v>8</v>
      </c>
      <c r="M480">
        <v>682</v>
      </c>
      <c r="N480" s="18">
        <v>1.1363636363636364E-2</v>
      </c>
    </row>
    <row r="481" spans="6:14" x14ac:dyDescent="0.25">
      <c r="F481">
        <v>674</v>
      </c>
      <c r="G481" s="15">
        <v>2354960</v>
      </c>
      <c r="I481">
        <v>685</v>
      </c>
      <c r="J481">
        <v>2</v>
      </c>
      <c r="M481">
        <v>685</v>
      </c>
      <c r="N481" s="18">
        <v>0</v>
      </c>
    </row>
    <row r="482" spans="6:14" x14ac:dyDescent="0.25">
      <c r="F482">
        <v>678</v>
      </c>
      <c r="G482" s="15">
        <v>2374684</v>
      </c>
      <c r="I482">
        <v>690</v>
      </c>
      <c r="J482">
        <v>11</v>
      </c>
      <c r="M482">
        <v>690</v>
      </c>
      <c r="N482" s="18">
        <v>1.7241379310344827E-2</v>
      </c>
    </row>
    <row r="483" spans="6:14" x14ac:dyDescent="0.25">
      <c r="F483">
        <v>682</v>
      </c>
      <c r="G483" s="15">
        <v>1073490</v>
      </c>
      <c r="I483">
        <v>696</v>
      </c>
      <c r="J483">
        <v>18</v>
      </c>
      <c r="M483">
        <v>696</v>
      </c>
      <c r="N483" s="18">
        <v>2.3416287196865403E-2</v>
      </c>
    </row>
    <row r="484" spans="6:14" x14ac:dyDescent="0.25">
      <c r="F484">
        <v>685</v>
      </c>
      <c r="G484" s="15">
        <v>1254474</v>
      </c>
      <c r="I484">
        <v>706</v>
      </c>
      <c r="J484">
        <v>6</v>
      </c>
      <c r="M484">
        <v>706</v>
      </c>
      <c r="N484" s="18">
        <v>2.5000000000000001E-2</v>
      </c>
    </row>
    <row r="485" spans="6:14" x14ac:dyDescent="0.25">
      <c r="F485">
        <v>690</v>
      </c>
      <c r="G485" s="15">
        <v>2241942</v>
      </c>
      <c r="I485">
        <v>709</v>
      </c>
      <c r="J485">
        <v>4</v>
      </c>
      <c r="M485">
        <v>709</v>
      </c>
      <c r="N485" s="18">
        <v>4.5454545454545456E-2</v>
      </c>
    </row>
    <row r="486" spans="6:14" x14ac:dyDescent="0.25">
      <c r="F486">
        <v>696</v>
      </c>
      <c r="G486" s="15">
        <v>4890590</v>
      </c>
      <c r="I486">
        <v>714</v>
      </c>
      <c r="J486">
        <v>4</v>
      </c>
      <c r="M486">
        <v>714</v>
      </c>
      <c r="N486" s="18">
        <v>7.246376811594203E-3</v>
      </c>
    </row>
    <row r="487" spans="6:14" x14ac:dyDescent="0.25">
      <c r="F487">
        <v>706</v>
      </c>
      <c r="G487" s="15">
        <v>936388</v>
      </c>
      <c r="I487">
        <v>715</v>
      </c>
      <c r="J487">
        <v>5</v>
      </c>
      <c r="M487">
        <v>715</v>
      </c>
      <c r="N487" s="18">
        <v>2.7027027027027029E-2</v>
      </c>
    </row>
    <row r="488" spans="6:14" x14ac:dyDescent="0.25">
      <c r="F488">
        <v>709</v>
      </c>
      <c r="G488" s="15">
        <v>634836</v>
      </c>
      <c r="I488">
        <v>718</v>
      </c>
      <c r="J488">
        <v>5</v>
      </c>
      <c r="M488">
        <v>718</v>
      </c>
      <c r="N488" s="18">
        <v>5.0847457627118647E-2</v>
      </c>
    </row>
    <row r="489" spans="6:14" x14ac:dyDescent="0.25">
      <c r="F489">
        <v>714</v>
      </c>
      <c r="G489" s="15">
        <v>914982</v>
      </c>
      <c r="I489">
        <v>719</v>
      </c>
      <c r="J489">
        <v>10</v>
      </c>
      <c r="M489">
        <v>719</v>
      </c>
      <c r="N489" s="18">
        <v>3.4188034188034191E-2</v>
      </c>
    </row>
    <row r="490" spans="6:14" x14ac:dyDescent="0.25">
      <c r="F490">
        <v>715</v>
      </c>
      <c r="G490" s="15">
        <v>676739</v>
      </c>
      <c r="I490">
        <v>722</v>
      </c>
      <c r="J490">
        <v>5</v>
      </c>
      <c r="M490">
        <v>722</v>
      </c>
      <c r="N490" s="18">
        <v>4.195804195804196E-2</v>
      </c>
    </row>
    <row r="491" spans="6:14" x14ac:dyDescent="0.25">
      <c r="F491">
        <v>718</v>
      </c>
      <c r="G491" s="15">
        <v>841161</v>
      </c>
      <c r="I491">
        <v>724</v>
      </c>
      <c r="J491">
        <v>3</v>
      </c>
      <c r="M491">
        <v>724</v>
      </c>
      <c r="N491" s="18">
        <v>3.5714285714285712E-2</v>
      </c>
    </row>
    <row r="492" spans="6:14" x14ac:dyDescent="0.25">
      <c r="F492">
        <v>719</v>
      </c>
      <c r="G492" s="15">
        <v>1494580</v>
      </c>
      <c r="I492">
        <v>727</v>
      </c>
      <c r="J492">
        <v>9</v>
      </c>
      <c r="M492">
        <v>727</v>
      </c>
      <c r="N492" s="18">
        <v>6.993006993006993E-3</v>
      </c>
    </row>
    <row r="493" spans="6:14" x14ac:dyDescent="0.25">
      <c r="F493">
        <v>722</v>
      </c>
      <c r="G493" s="15">
        <v>1950424</v>
      </c>
      <c r="I493">
        <v>734</v>
      </c>
      <c r="J493">
        <v>6</v>
      </c>
      <c r="M493">
        <v>734</v>
      </c>
      <c r="N493" s="18">
        <v>0</v>
      </c>
    </row>
    <row r="494" spans="6:14" x14ac:dyDescent="0.25">
      <c r="F494">
        <v>724</v>
      </c>
      <c r="G494" s="15">
        <v>313404</v>
      </c>
      <c r="I494">
        <v>739</v>
      </c>
      <c r="J494">
        <v>6</v>
      </c>
      <c r="M494">
        <v>739</v>
      </c>
      <c r="N494" s="18">
        <v>3.125E-2</v>
      </c>
    </row>
    <row r="495" spans="6:14" x14ac:dyDescent="0.25">
      <c r="F495">
        <v>727</v>
      </c>
      <c r="G495" s="15">
        <v>2004094</v>
      </c>
      <c r="I495">
        <v>742</v>
      </c>
      <c r="J495">
        <v>6</v>
      </c>
      <c r="M495">
        <v>742</v>
      </c>
      <c r="N495" s="18">
        <v>3.125E-2</v>
      </c>
    </row>
    <row r="496" spans="6:14" x14ac:dyDescent="0.25">
      <c r="F496">
        <v>734</v>
      </c>
      <c r="G496" s="15">
        <v>344199</v>
      </c>
      <c r="I496">
        <v>750</v>
      </c>
      <c r="J496">
        <v>3</v>
      </c>
      <c r="M496">
        <v>750</v>
      </c>
      <c r="N496" s="18">
        <v>4.3478260869565216E-2</v>
      </c>
    </row>
    <row r="497" spans="6:14" x14ac:dyDescent="0.25">
      <c r="F497">
        <v>739</v>
      </c>
      <c r="G497" s="15">
        <v>606288</v>
      </c>
      <c r="I497">
        <v>751</v>
      </c>
      <c r="J497">
        <v>9</v>
      </c>
      <c r="M497">
        <v>751</v>
      </c>
      <c r="N497" s="18">
        <v>2.2505857688987541E-2</v>
      </c>
    </row>
    <row r="498" spans="6:14" x14ac:dyDescent="0.25">
      <c r="F498">
        <v>742</v>
      </c>
      <c r="G498" s="15">
        <v>628510</v>
      </c>
      <c r="I498">
        <v>757</v>
      </c>
      <c r="J498">
        <v>3</v>
      </c>
      <c r="M498">
        <v>757</v>
      </c>
      <c r="N498" s="18">
        <v>1.4285714285714285E-2</v>
      </c>
    </row>
    <row r="499" spans="6:14" x14ac:dyDescent="0.25">
      <c r="F499">
        <v>750</v>
      </c>
      <c r="G499" s="15">
        <v>645320</v>
      </c>
      <c r="I499">
        <v>758</v>
      </c>
      <c r="J499">
        <v>6</v>
      </c>
      <c r="M499">
        <v>758</v>
      </c>
      <c r="N499" s="18">
        <v>2.1897810218978103E-2</v>
      </c>
    </row>
    <row r="500" spans="6:14" x14ac:dyDescent="0.25">
      <c r="F500">
        <v>751</v>
      </c>
      <c r="G500" s="15">
        <v>2612222</v>
      </c>
      <c r="I500">
        <v>768</v>
      </c>
      <c r="J500">
        <v>5</v>
      </c>
      <c r="M500">
        <v>768</v>
      </c>
      <c r="N500" s="18">
        <v>2.3255813953488372E-2</v>
      </c>
    </row>
    <row r="501" spans="6:14" x14ac:dyDescent="0.25">
      <c r="F501">
        <v>757</v>
      </c>
      <c r="G501" s="15">
        <v>1211164</v>
      </c>
      <c r="I501">
        <v>769</v>
      </c>
      <c r="J501">
        <v>7</v>
      </c>
      <c r="M501">
        <v>769</v>
      </c>
      <c r="N501" s="18">
        <v>0</v>
      </c>
    </row>
    <row r="502" spans="6:14" x14ac:dyDescent="0.25">
      <c r="F502">
        <v>758</v>
      </c>
      <c r="G502" s="15">
        <v>1632242</v>
      </c>
      <c r="I502">
        <v>779</v>
      </c>
      <c r="J502">
        <v>5</v>
      </c>
      <c r="M502">
        <v>779</v>
      </c>
      <c r="N502" s="18">
        <v>3.1746031746031744E-2</v>
      </c>
    </row>
    <row r="503" spans="6:14" x14ac:dyDescent="0.25">
      <c r="F503">
        <v>768</v>
      </c>
      <c r="G503" s="15">
        <v>952018</v>
      </c>
      <c r="I503">
        <v>786</v>
      </c>
      <c r="J503">
        <v>11</v>
      </c>
      <c r="M503">
        <v>786</v>
      </c>
      <c r="N503" s="18">
        <v>7.0422535211267607E-3</v>
      </c>
    </row>
    <row r="504" spans="6:14" x14ac:dyDescent="0.25">
      <c r="F504">
        <v>769</v>
      </c>
      <c r="G504" s="15">
        <v>1041581</v>
      </c>
      <c r="I504">
        <v>792</v>
      </c>
      <c r="J504">
        <v>8</v>
      </c>
      <c r="M504">
        <v>792</v>
      </c>
      <c r="N504" s="18">
        <v>2.3255813953488372E-2</v>
      </c>
    </row>
    <row r="505" spans="6:14" x14ac:dyDescent="0.25">
      <c r="F505">
        <v>779</v>
      </c>
      <c r="G505" s="15">
        <v>1055462</v>
      </c>
      <c r="I505">
        <v>794</v>
      </c>
      <c r="J505">
        <v>6</v>
      </c>
      <c r="M505">
        <v>794</v>
      </c>
      <c r="N505" s="18">
        <v>1.1235955056179775E-2</v>
      </c>
    </row>
    <row r="506" spans="6:14" x14ac:dyDescent="0.25">
      <c r="F506">
        <v>786</v>
      </c>
      <c r="G506" s="15">
        <v>1185008</v>
      </c>
      <c r="I506">
        <v>795</v>
      </c>
      <c r="J506">
        <v>7</v>
      </c>
      <c r="M506">
        <v>795</v>
      </c>
      <c r="N506" s="18">
        <v>3.125E-2</v>
      </c>
    </row>
    <row r="507" spans="6:14" x14ac:dyDescent="0.25">
      <c r="F507">
        <v>792</v>
      </c>
      <c r="G507" s="15">
        <v>1569201</v>
      </c>
      <c r="I507">
        <v>796</v>
      </c>
      <c r="J507">
        <v>9</v>
      </c>
      <c r="M507">
        <v>796</v>
      </c>
      <c r="N507" s="18">
        <v>0</v>
      </c>
    </row>
    <row r="508" spans="6:14" x14ac:dyDescent="0.25">
      <c r="F508">
        <v>794</v>
      </c>
      <c r="G508" s="15">
        <v>1333462</v>
      </c>
      <c r="I508">
        <v>800</v>
      </c>
      <c r="J508">
        <v>11</v>
      </c>
      <c r="M508">
        <v>800</v>
      </c>
      <c r="N508" s="18">
        <v>3.7974683544303799E-2</v>
      </c>
    </row>
    <row r="509" spans="6:14" x14ac:dyDescent="0.25">
      <c r="F509">
        <v>795</v>
      </c>
      <c r="G509" s="15">
        <v>486640</v>
      </c>
      <c r="I509">
        <v>801</v>
      </c>
      <c r="J509">
        <v>2</v>
      </c>
      <c r="M509">
        <v>801</v>
      </c>
      <c r="N509" s="18">
        <v>0</v>
      </c>
    </row>
    <row r="510" spans="6:14" x14ac:dyDescent="0.25">
      <c r="F510">
        <v>796</v>
      </c>
      <c r="G510" s="15">
        <v>2338878</v>
      </c>
      <c r="I510">
        <v>803</v>
      </c>
      <c r="J510">
        <v>5</v>
      </c>
      <c r="M510">
        <v>803</v>
      </c>
      <c r="N510" s="18">
        <v>1.0309278350515464E-2</v>
      </c>
    </row>
    <row r="511" spans="6:14" x14ac:dyDescent="0.25">
      <c r="F511">
        <v>800</v>
      </c>
      <c r="G511" s="15">
        <v>1255865</v>
      </c>
      <c r="I511">
        <v>805</v>
      </c>
      <c r="J511">
        <v>10</v>
      </c>
      <c r="M511">
        <v>805</v>
      </c>
      <c r="N511" s="18">
        <v>2.4590163934426229E-2</v>
      </c>
    </row>
    <row r="512" spans="6:14" x14ac:dyDescent="0.25">
      <c r="F512">
        <v>801</v>
      </c>
      <c r="G512" s="15">
        <v>1751286</v>
      </c>
      <c r="I512">
        <v>807</v>
      </c>
      <c r="J512">
        <v>3</v>
      </c>
      <c r="M512">
        <v>807</v>
      </c>
      <c r="N512" s="18">
        <v>0</v>
      </c>
    </row>
    <row r="513" spans="6:14" x14ac:dyDescent="0.25">
      <c r="F513">
        <v>803</v>
      </c>
      <c r="G513" s="15">
        <v>1619242</v>
      </c>
      <c r="I513">
        <v>813</v>
      </c>
      <c r="J513">
        <v>15</v>
      </c>
      <c r="M513">
        <v>813</v>
      </c>
      <c r="N513" s="18">
        <v>3.2981875217845937E-2</v>
      </c>
    </row>
    <row r="514" spans="6:14" x14ac:dyDescent="0.25">
      <c r="F514">
        <v>805</v>
      </c>
      <c r="G514" s="15">
        <v>2006521</v>
      </c>
      <c r="I514">
        <v>814</v>
      </c>
      <c r="J514">
        <v>9</v>
      </c>
      <c r="M514">
        <v>814</v>
      </c>
      <c r="N514" s="18">
        <v>1.6949152542372881E-2</v>
      </c>
    </row>
    <row r="515" spans="6:14" x14ac:dyDescent="0.25">
      <c r="F515">
        <v>807</v>
      </c>
      <c r="G515" s="15">
        <v>811199</v>
      </c>
      <c r="I515">
        <v>819</v>
      </c>
      <c r="J515">
        <v>4</v>
      </c>
      <c r="M515">
        <v>819</v>
      </c>
      <c r="N515" s="18">
        <v>2.1276595744680851E-2</v>
      </c>
    </row>
    <row r="516" spans="6:14" x14ac:dyDescent="0.25">
      <c r="F516">
        <v>813</v>
      </c>
      <c r="G516" s="15">
        <v>3015794</v>
      </c>
      <c r="I516">
        <v>828</v>
      </c>
      <c r="J516">
        <v>23</v>
      </c>
      <c r="M516">
        <v>828</v>
      </c>
      <c r="N516" s="18">
        <v>1.1029411764705883E-2</v>
      </c>
    </row>
    <row r="517" spans="6:14" x14ac:dyDescent="0.25">
      <c r="F517">
        <v>814</v>
      </c>
      <c r="G517" s="15">
        <v>2278202</v>
      </c>
      <c r="I517">
        <v>834</v>
      </c>
      <c r="J517">
        <v>15</v>
      </c>
      <c r="M517">
        <v>834</v>
      </c>
      <c r="N517" s="18">
        <v>7.3529411764705881E-3</v>
      </c>
    </row>
    <row r="518" spans="6:14" x14ac:dyDescent="0.25">
      <c r="F518">
        <v>819</v>
      </c>
      <c r="G518" s="15">
        <v>1293438</v>
      </c>
      <c r="I518">
        <v>835</v>
      </c>
      <c r="J518">
        <v>3</v>
      </c>
      <c r="M518">
        <v>835</v>
      </c>
      <c r="N518" s="18">
        <v>1.7857142857142856E-2</v>
      </c>
    </row>
    <row r="519" spans="6:14" x14ac:dyDescent="0.25">
      <c r="F519">
        <v>828</v>
      </c>
      <c r="G519" s="15">
        <v>2167547</v>
      </c>
      <c r="I519">
        <v>839</v>
      </c>
      <c r="J519">
        <v>6</v>
      </c>
      <c r="M519">
        <v>839</v>
      </c>
      <c r="N519" s="18">
        <v>1.5384615384615385E-2</v>
      </c>
    </row>
    <row r="520" spans="6:14" x14ac:dyDescent="0.25">
      <c r="F520">
        <v>834</v>
      </c>
      <c r="G520" s="15">
        <v>1994642</v>
      </c>
      <c r="I520">
        <v>842</v>
      </c>
      <c r="J520">
        <v>8</v>
      </c>
      <c r="M520">
        <v>842</v>
      </c>
      <c r="N520" s="18">
        <v>1.0869565217391304E-2</v>
      </c>
    </row>
    <row r="521" spans="6:14" x14ac:dyDescent="0.25">
      <c r="F521">
        <v>835</v>
      </c>
      <c r="G521" s="15">
        <v>1456230</v>
      </c>
      <c r="I521">
        <v>843</v>
      </c>
      <c r="J521">
        <v>12</v>
      </c>
      <c r="M521">
        <v>843</v>
      </c>
      <c r="N521" s="18">
        <v>3.7006802721088437E-2</v>
      </c>
    </row>
    <row r="522" spans="6:14" x14ac:dyDescent="0.25">
      <c r="F522">
        <v>839</v>
      </c>
      <c r="G522" s="15">
        <v>1002672</v>
      </c>
      <c r="I522">
        <v>845</v>
      </c>
      <c r="J522">
        <v>7</v>
      </c>
      <c r="M522">
        <v>845</v>
      </c>
      <c r="N522" s="18">
        <v>2.8037383177570093E-2</v>
      </c>
    </row>
    <row r="523" spans="6:14" x14ac:dyDescent="0.25">
      <c r="F523">
        <v>842</v>
      </c>
      <c r="G523" s="15">
        <v>1424990</v>
      </c>
      <c r="I523">
        <v>846</v>
      </c>
      <c r="J523">
        <v>5</v>
      </c>
      <c r="M523">
        <v>846</v>
      </c>
      <c r="N523" s="18">
        <v>3.7313432835820892E-2</v>
      </c>
    </row>
    <row r="524" spans="6:14" x14ac:dyDescent="0.25">
      <c r="F524">
        <v>843</v>
      </c>
      <c r="G524" s="15">
        <v>2580344</v>
      </c>
      <c r="I524">
        <v>848</v>
      </c>
      <c r="J524">
        <v>3</v>
      </c>
      <c r="M524">
        <v>848</v>
      </c>
      <c r="N524" s="18">
        <v>3.2258064516129031E-2</v>
      </c>
    </row>
    <row r="525" spans="6:14" x14ac:dyDescent="0.25">
      <c r="F525">
        <v>845</v>
      </c>
      <c r="G525" s="15">
        <v>831594</v>
      </c>
    </row>
    <row r="526" spans="6:14" x14ac:dyDescent="0.25">
      <c r="F526">
        <v>846</v>
      </c>
      <c r="G526" s="15">
        <v>1078056</v>
      </c>
    </row>
    <row r="527" spans="6:14" x14ac:dyDescent="0.25">
      <c r="F527">
        <v>848</v>
      </c>
      <c r="G527" s="15">
        <v>1247312</v>
      </c>
    </row>
  </sheetData>
  <pageMargins left="0.7" right="0.7" top="0.75" bottom="0.75" header="0.3" footer="0.3"/>
  <pageSetup orientation="portrait" r:id="rId15"/>
  <drawing r:id="rId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73EC7-793E-4106-9A42-C2EED6F3BEEB}">
  <dimension ref="A1"/>
  <sheetViews>
    <sheetView showGridLines="0" tabSelected="1" zoomScale="106" zoomScaleNormal="106" workbookViewId="0">
      <selection activeCell="Z12" sqref="Z12"/>
    </sheetView>
  </sheetViews>
  <sheetFormatPr defaultRowHeight="15" x14ac:dyDescent="0.25"/>
  <cols>
    <col min="1" max="16384" width="9.14062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3216F-6F35-49C8-BF27-6BE26ABA8E3E}">
  <dimension ref="A1"/>
  <sheetViews>
    <sheetView showGridLines="0" workbookViewId="0">
      <selection activeCell="V8" sqref="V8"/>
    </sheetView>
  </sheetViews>
  <sheetFormatPr defaultRowHeight="15" x14ac:dyDescent="0.25"/>
  <cols>
    <col min="1" max="16384" width="9.140625" style="8"/>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BB1F8-A748-46C2-A75A-C5BDEF43D6F7}">
  <dimension ref="A1"/>
  <sheetViews>
    <sheetView showGridLines="0" workbookViewId="0">
      <selection activeCell="G29" sqref="G29"/>
    </sheetView>
  </sheetViews>
  <sheetFormatPr defaultRowHeight="15" x14ac:dyDescent="0.25"/>
  <cols>
    <col min="1" max="16384" width="9.140625" style="8"/>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Original Dataset</vt:lpstr>
      <vt:lpstr>Logistics Operation</vt:lpstr>
      <vt:lpstr>Pre-Analysis</vt:lpstr>
      <vt:lpstr>Charts</vt:lpstr>
      <vt:lpstr>Dashboard</vt:lpstr>
      <vt:lpstr>In-Analysis</vt:lpstr>
      <vt:lpstr>Final Recommendations</vt:lpstr>
      <vt:lpstr>Avg_Score</vt:lpstr>
      <vt:lpstr>Current_Date</vt:lpstr>
      <vt:lpstr>delay_days</vt:lpstr>
      <vt:lpstr>dmg_rate</vt:lpstr>
      <vt:lpstr>freight_cost</vt:lpstr>
      <vt:lpstr>ontme_del</vt:lpstr>
      <vt:lpstr>shipment</vt:lpstr>
      <vt:lpstr>variance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Asibor</dc:creator>
  <cp:lastModifiedBy>Felix Asibor</cp:lastModifiedBy>
  <dcterms:created xsi:type="dcterms:W3CDTF">2026-09-09T20:25:39Z</dcterms:created>
  <dcterms:modified xsi:type="dcterms:W3CDTF">2026-09-21T12:02:23Z</dcterms:modified>
</cp:coreProperties>
</file>